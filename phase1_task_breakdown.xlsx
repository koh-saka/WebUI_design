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進捗サマリ" sheetId="1" state="visible" r:id="rId1"/>
    <sheet xmlns:r="http://schemas.openxmlformats.org/officeDocument/2006/relationships" name="実装タスク一覧" sheetId="2" state="visible" r:id="rId2"/>
    <sheet xmlns:r="http://schemas.openxmlformats.org/officeDocument/2006/relationships" name="設定" sheetId="3" state="hidden" r:id="rId3"/>
    <sheet xmlns:r="http://schemas.openxmlformats.org/officeDocument/2006/relationships" name="運用ガイド" sheetId="4" state="visible" r:id="rId4"/>
  </sheets>
  <definedNames>
    <definedName name="_xlnm._FilterDatabase" localSheetId="1" hidden="1">'実装タスク一覧'!$A$6:$O$31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BFD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2" fillId="3" borderId="0" pivotButton="0" quotePrefix="0" xfId="0"/>
    <xf numFmtId="9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カテゴリ別チケット数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'進捗サマリ'!E2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'進捗サマリ'!$D$3:$D$11</f>
            </numRef>
          </cat>
          <val>
            <numRef>
              <f>'進捗サマリ'!$E$3:$E$11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カテゴリ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" customWidth="1" min="3" max="3"/>
    <col width="16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1" t="inlineStr">
        <is>
          <t>フェーズ1 進捗サマリ</t>
        </is>
      </c>
    </row>
    <row r="2">
      <c r="A2" s="2" t="inlineStr">
        <is>
          <t>総チケット数</t>
        </is>
      </c>
      <c r="B2" s="3">
        <f>COUNTA('実装タスク一覧'!B7:B31)</f>
        <v/>
      </c>
      <c r="D2" s="4" t="inlineStr">
        <is>
          <t>カテゴリ別チケット数</t>
        </is>
      </c>
    </row>
    <row r="3">
      <c r="A3" s="2" t="inlineStr">
        <is>
          <t>完了</t>
        </is>
      </c>
      <c r="B3" s="3">
        <f>COUNTIF('実装タスク一覧'!K7:K31,"完了")</f>
        <v/>
      </c>
      <c r="D3" s="3" t="inlineStr">
        <is>
          <t>基盤</t>
        </is>
      </c>
      <c r="E3" s="3">
        <f>COUNTIF('実装タスク一覧'!C7:C31,"基盤")</f>
        <v/>
      </c>
    </row>
    <row r="4">
      <c r="A4" s="2" t="inlineStr">
        <is>
          <t>進行中</t>
        </is>
      </c>
      <c r="B4" s="3">
        <f>COUNTIF('実装タスク一覧'!K7:K31,"進行中")</f>
        <v/>
      </c>
      <c r="D4" s="3" t="inlineStr">
        <is>
          <t>資産整理</t>
        </is>
      </c>
      <c r="E4" s="3">
        <f>COUNTIF('実装タスク一覧'!C7:C31,"資産整理")</f>
        <v/>
      </c>
    </row>
    <row r="5">
      <c r="A5" s="2" t="inlineStr">
        <is>
          <t>レビュー待ち</t>
        </is>
      </c>
      <c r="B5" s="3">
        <f>COUNTIF('実装タスク一覧'!K7:K31,"レビュー待ち")</f>
        <v/>
      </c>
      <c r="D5" s="3" t="inlineStr">
        <is>
          <t>遷移</t>
        </is>
      </c>
      <c r="E5" s="3">
        <f>COUNTIF('実装タスク一覧'!C7:C31,"遷移")</f>
        <v/>
      </c>
    </row>
    <row r="6">
      <c r="A6" s="2" t="inlineStr">
        <is>
          <t>未着手</t>
        </is>
      </c>
      <c r="B6" s="3">
        <f>COUNTIF('実装タスク一覧'!K7:K31,"未着手")</f>
        <v/>
      </c>
      <c r="D6" s="3" t="inlineStr">
        <is>
          <t>画面</t>
        </is>
      </c>
      <c r="E6" s="3">
        <f>COUNTIF('実装タスク一覧'!C7:C31,"画面")</f>
        <v/>
      </c>
    </row>
    <row r="7">
      <c r="A7" s="2" t="inlineStr">
        <is>
          <t>ブロック</t>
        </is>
      </c>
      <c r="B7" s="3">
        <f>COUNTIF('実装タスク一覧'!K7:K31,"ブロック")</f>
        <v/>
      </c>
      <c r="D7" s="3" t="inlineStr">
        <is>
          <t>共通UI</t>
        </is>
      </c>
      <c r="E7" s="3">
        <f>COUNTIF('実装タスク一覧'!C7:C31,"共通UI")</f>
        <v/>
      </c>
    </row>
    <row r="8">
      <c r="A8" s="2" t="inlineStr">
        <is>
          <t>完了率</t>
        </is>
      </c>
      <c r="B8" s="5">
        <f>IF(B2=0,0,B3/B2)</f>
        <v/>
      </c>
      <c r="D8" s="3" t="inlineStr">
        <is>
          <t>状態</t>
        </is>
      </c>
      <c r="E8" s="3">
        <f>COUNTIF('実装タスク一覧'!C7:C31,"状態")</f>
        <v/>
      </c>
    </row>
    <row r="9">
      <c r="A9" s="2" t="inlineStr">
        <is>
          <t>総見積(人日)</t>
        </is>
      </c>
      <c r="B9" s="3">
        <f>SUM('実装タスク一覧'!J7:J31)</f>
        <v/>
      </c>
      <c r="D9" s="3" t="inlineStr">
        <is>
          <t>スタブ通信</t>
        </is>
      </c>
      <c r="E9" s="3">
        <f>COUNTIF('実装タスク一覧'!C7:C31,"スタブ通信")</f>
        <v/>
      </c>
    </row>
    <row r="10">
      <c r="A10" s="2" t="inlineStr">
        <is>
          <t>完了見積(人日)</t>
        </is>
      </c>
      <c r="B10" s="3">
        <f>SUMIF('実装タスク一覧'!K7:K31,"完了",'実装タスク一覧'!J7:J31)</f>
        <v/>
      </c>
      <c r="D10" s="3" t="inlineStr">
        <is>
          <t>検証</t>
        </is>
      </c>
      <c r="E10" s="3">
        <f>COUNTIF('実装タスク一覧'!C7:C31,"検証")</f>
        <v/>
      </c>
    </row>
    <row r="11">
      <c r="A11" s="2" t="inlineStr">
        <is>
          <t>工数進捗率</t>
        </is>
      </c>
      <c r="B11" s="5">
        <f>IF(B8=0,0,B9/B8)</f>
        <v/>
      </c>
      <c r="D11" s="3" t="inlineStr">
        <is>
          <t>引継ぎ</t>
        </is>
      </c>
      <c r="E11" s="3">
        <f>COUNTIF('実装タスク一覧'!C7:C31,"引継ぎ")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0" customWidth="1" min="4" max="4"/>
    <col width="24" customWidth="1" min="5" max="5"/>
    <col width="42" customWidth="1" min="6" max="6"/>
    <col width="30" customWidth="1" min="7" max="7"/>
    <col width="16" customWidth="1" min="8" max="8"/>
    <col width="8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22" customWidth="1" min="15" max="15"/>
  </cols>
  <sheetData>
    <row r="1" ht="26" customHeight="1">
      <c r="A1" s="6" t="inlineStr">
        <is>
          <t>フェーズ1 作業チケット分解（jQuery移植・画面骨格再現）</t>
        </is>
      </c>
    </row>
    <row r="2">
      <c r="A2" s="4" t="inlineStr">
        <is>
          <t>対象</t>
        </is>
      </c>
      <c r="B2" s="7" t="inlineStr">
        <is>
          <t>Reactベース Auto Framing UI → jQueryベース画面骨格への置換</t>
        </is>
      </c>
    </row>
    <row r="3">
      <c r="A3" s="4" t="inlineStr">
        <is>
          <t>フェーズ範囲</t>
        </is>
      </c>
      <c r="B3" s="7" t="inlineStr">
        <is>
          <t>画面デザイン再現 / 画面遷移 / UI状態変化 / 最小状態管理 / スタブ通信</t>
        </is>
      </c>
    </row>
    <row r="4">
      <c r="A4" s="4" t="inlineStr">
        <is>
          <t>管理方針</t>
        </is>
      </c>
      <c r="B4" s="7" t="inlineStr">
        <is>
          <t>1行=1チケット。ステータス・担当・開始/期限・備考を更新して進捗管理する</t>
        </is>
      </c>
    </row>
    <row r="6" ht="34" customHeight="1">
      <c r="A6" s="8" t="inlineStr">
        <is>
          <t>WBS</t>
        </is>
      </c>
      <c r="B6" s="8" t="inlineStr">
        <is>
          <t>チケットID</t>
        </is>
      </c>
      <c r="C6" s="8" t="inlineStr">
        <is>
          <t>カテゴリ</t>
        </is>
      </c>
      <c r="D6" s="8" t="inlineStr">
        <is>
          <t>対象画面/モジュール</t>
        </is>
      </c>
      <c r="E6" s="8" t="inlineStr">
        <is>
          <t>タスク名</t>
        </is>
      </c>
      <c r="F6" s="8" t="inlineStr">
        <is>
          <t>実装内容</t>
        </is>
      </c>
      <c r="G6" s="8" t="inlineStr">
        <is>
          <t>完了条件(DoD)</t>
        </is>
      </c>
      <c r="H6" s="8" t="inlineStr">
        <is>
          <t>依存</t>
        </is>
      </c>
      <c r="I6" s="8" t="inlineStr">
        <is>
          <t>優先度</t>
        </is>
      </c>
      <c r="J6" s="8" t="inlineStr">
        <is>
          <t>見積(人日)</t>
        </is>
      </c>
      <c r="K6" s="8" t="inlineStr">
        <is>
          <t>ステータス</t>
        </is>
      </c>
      <c r="L6" s="8" t="inlineStr">
        <is>
          <t>担当</t>
        </is>
      </c>
      <c r="M6" s="8" t="inlineStr">
        <is>
          <t>開始予定</t>
        </is>
      </c>
      <c r="N6" s="8" t="inlineStr">
        <is>
          <t>期限</t>
        </is>
      </c>
      <c r="O6" s="8" t="inlineStr">
        <is>
          <t>備考</t>
        </is>
      </c>
    </row>
    <row r="7" ht="32" customHeight="1">
      <c r="A7" s="9" t="inlineStr">
        <is>
          <t>1.1</t>
        </is>
      </c>
      <c r="B7" s="9" t="inlineStr">
        <is>
          <t>P1-001</t>
        </is>
      </c>
      <c r="C7" s="9" t="inlineStr">
        <is>
          <t>基盤</t>
        </is>
      </c>
      <c r="D7" s="9" t="inlineStr">
        <is>
          <t>全体</t>
        </is>
      </c>
      <c r="E7" s="9" t="inlineStr">
        <is>
          <t>jQuery版ディレクトリ骨格作成</t>
        </is>
      </c>
      <c r="F7" s="9" t="inlineStr">
        <is>
          <t>html/css/js/assets/apiStub/state/views/components など基本構成を作る</t>
        </is>
      </c>
      <c r="G7" s="9" t="inlineStr">
        <is>
          <t>空のトップ画面が起動し、主要ディレクトリの責務が決まっている</t>
        </is>
      </c>
      <c r="H7" s="9" t="inlineStr">
        <is>
          <t>-</t>
        </is>
      </c>
      <c r="I7" s="9" t="inlineStr">
        <is>
          <t>高</t>
        </is>
      </c>
      <c r="J7" s="10" t="n">
        <v>0.5</v>
      </c>
      <c r="K7" s="9" t="inlineStr">
        <is>
          <t>未着手</t>
        </is>
      </c>
      <c r="L7" s="9" t="inlineStr"/>
      <c r="M7" s="9" t="inlineStr"/>
      <c r="N7" s="9" t="inlineStr"/>
      <c r="O7" s="9" t="inlineStr"/>
    </row>
    <row r="8" ht="32" customHeight="1">
      <c r="A8" s="11" t="inlineStr">
        <is>
          <t>1.2</t>
        </is>
      </c>
      <c r="B8" s="11" t="inlineStr">
        <is>
          <t>P1-002</t>
        </is>
      </c>
      <c r="C8" s="11" t="inlineStr">
        <is>
          <t>基盤</t>
        </is>
      </c>
      <c r="D8" s="11" t="inlineStr">
        <is>
          <t>全体</t>
        </is>
      </c>
      <c r="E8" s="11" t="inlineStr">
        <is>
          <t>共通HTMLシェル作成</t>
        </is>
      </c>
      <c r="F8" s="11" t="inlineStr">
        <is>
          <t>header/main/footer、共通コンテナ、画面描画領域を定義する</t>
        </is>
      </c>
      <c r="G8" s="11" t="inlineStr">
        <is>
          <t>共通レイアウトが1つのHTMLで表示できる</t>
        </is>
      </c>
      <c r="H8" s="11" t="inlineStr">
        <is>
          <t>P1-001</t>
        </is>
      </c>
      <c r="I8" s="11" t="inlineStr">
        <is>
          <t>高</t>
        </is>
      </c>
      <c r="J8" s="12" t="n">
        <v>0.5</v>
      </c>
      <c r="K8" s="11" t="inlineStr">
        <is>
          <t>未着手</t>
        </is>
      </c>
      <c r="L8" s="11" t="inlineStr"/>
      <c r="M8" s="11" t="inlineStr"/>
      <c r="N8" s="11" t="inlineStr"/>
      <c r="O8" s="11" t="inlineStr"/>
    </row>
    <row r="9" ht="32" customHeight="1">
      <c r="A9" s="9" t="inlineStr">
        <is>
          <t>1.3</t>
        </is>
      </c>
      <c r="B9" s="9" t="inlineStr">
        <is>
          <t>P1-003</t>
        </is>
      </c>
      <c r="C9" s="9" t="inlineStr">
        <is>
          <t>基盤</t>
        </is>
      </c>
      <c r="D9" s="9" t="inlineStr">
        <is>
          <t>全体</t>
        </is>
      </c>
      <c r="E9" s="9" t="inlineStr">
        <is>
          <t>共通CSS初期化</t>
        </is>
      </c>
      <c r="F9" s="9" t="inlineStr">
        <is>
          <t>reset、共通フォント、spacing、z-index、utility class を整備する</t>
        </is>
      </c>
      <c r="G9" s="9" t="inlineStr">
        <is>
          <t>崩れずに全画面で共通スタイルが使える</t>
        </is>
      </c>
      <c r="H9" s="9" t="inlineStr">
        <is>
          <t>P1-001</t>
        </is>
      </c>
      <c r="I9" s="9" t="inlineStr">
        <is>
          <t>高</t>
        </is>
      </c>
      <c r="J9" s="10" t="n">
        <v>0.5</v>
      </c>
      <c r="K9" s="9" t="inlineStr">
        <is>
          <t>未着手</t>
        </is>
      </c>
      <c r="L9" s="9" t="inlineStr"/>
      <c r="M9" s="9" t="inlineStr"/>
      <c r="N9" s="9" t="inlineStr"/>
      <c r="O9" s="9" t="inlineStr"/>
    </row>
    <row r="10" ht="32" customHeight="1">
      <c r="A10" s="11" t="inlineStr">
        <is>
          <t>1.4</t>
        </is>
      </c>
      <c r="B10" s="11" t="inlineStr">
        <is>
          <t>P1-004</t>
        </is>
      </c>
      <c r="C10" s="11" t="inlineStr">
        <is>
          <t>資産整理</t>
        </is>
      </c>
      <c r="D10" s="11" t="inlineStr">
        <is>
          <t>assets</t>
        </is>
      </c>
      <c r="E10" s="11" t="inlineStr">
        <is>
          <t>React資産のマッピング表作成</t>
        </is>
      </c>
      <c r="F10" s="11" t="inlineStr">
        <is>
          <t>png/scss/class名をjQuery版でどう使うか対応表にする</t>
        </is>
      </c>
      <c r="G10" s="11" t="inlineStr">
        <is>
          <t>主要画像とクラス用途が一覧化されている</t>
        </is>
      </c>
      <c r="H10" s="11" t="inlineStr">
        <is>
          <t>P1-001</t>
        </is>
      </c>
      <c r="I10" s="11" t="inlineStr">
        <is>
          <t>中</t>
        </is>
      </c>
      <c r="J10" s="12" t="n">
        <v>1</v>
      </c>
      <c r="K10" s="11" t="inlineStr">
        <is>
          <t>未着手</t>
        </is>
      </c>
      <c r="L10" s="11" t="inlineStr"/>
      <c r="M10" s="11" t="inlineStr"/>
      <c r="N10" s="11" t="inlineStr"/>
      <c r="O10" s="11" t="inlineStr"/>
    </row>
    <row r="11" ht="32" customHeight="1">
      <c r="A11" s="9" t="inlineStr">
        <is>
          <t>2.1</t>
        </is>
      </c>
      <c r="B11" s="9" t="inlineStr">
        <is>
          <t>P1-005</t>
        </is>
      </c>
      <c r="C11" s="9" t="inlineStr">
        <is>
          <t>遷移</t>
        </is>
      </c>
      <c r="D11" s="9" t="inlineStr">
        <is>
          <t>全体</t>
        </is>
      </c>
      <c r="E11" s="9" t="inlineStr">
        <is>
          <t>画面遷移方式の実装</t>
        </is>
      </c>
      <c r="F11" s="9" t="inlineStr">
        <is>
          <t>hashまたは内部stateで home/autoframing/camera_control/setup/wait を切替える</t>
        </is>
      </c>
      <c r="G11" s="9" t="inlineStr">
        <is>
          <t>主要画面をブラウザ操作で遷移できる</t>
        </is>
      </c>
      <c r="H11" s="9" t="inlineStr">
        <is>
          <t>P1-002</t>
        </is>
      </c>
      <c r="I11" s="9" t="inlineStr">
        <is>
          <t>高</t>
        </is>
      </c>
      <c r="J11" s="10" t="n">
        <v>1</v>
      </c>
      <c r="K11" s="9" t="inlineStr">
        <is>
          <t>未着手</t>
        </is>
      </c>
      <c r="L11" s="9" t="inlineStr"/>
      <c r="M11" s="9" t="inlineStr"/>
      <c r="N11" s="9" t="inlineStr"/>
      <c r="O11" s="9" t="inlineStr"/>
    </row>
    <row r="12" ht="32" customHeight="1">
      <c r="A12" s="11" t="inlineStr">
        <is>
          <t>2.2</t>
        </is>
      </c>
      <c r="B12" s="11" t="inlineStr">
        <is>
          <t>P1-006</t>
        </is>
      </c>
      <c r="C12" s="11" t="inlineStr">
        <is>
          <t>遷移</t>
        </is>
      </c>
      <c r="D12" s="11" t="inlineStr">
        <is>
          <t>全体</t>
        </is>
      </c>
      <c r="E12" s="11" t="inlineStr">
        <is>
          <t>ナビゲーション領域作成</t>
        </is>
      </c>
      <c r="F12" s="11" t="inlineStr">
        <is>
          <t>左メニューまたは上部タブで画面切替できるようにする</t>
        </is>
      </c>
      <c r="G12" s="11" t="inlineStr">
        <is>
          <t>遷移UIから各画面へ遷移できる</t>
        </is>
      </c>
      <c r="H12" s="11" t="inlineStr">
        <is>
          <t>P1-005</t>
        </is>
      </c>
      <c r="I12" s="11" t="inlineStr">
        <is>
          <t>高</t>
        </is>
      </c>
      <c r="J12" s="12" t="n">
        <v>0.5</v>
      </c>
      <c r="K12" s="11" t="inlineStr">
        <is>
          <t>未着手</t>
        </is>
      </c>
      <c r="L12" s="11" t="inlineStr"/>
      <c r="M12" s="11" t="inlineStr"/>
      <c r="N12" s="11" t="inlineStr"/>
      <c r="O12" s="11" t="inlineStr"/>
    </row>
    <row r="13" ht="32" customHeight="1">
      <c r="A13" s="9" t="inlineStr">
        <is>
          <t>2.3</t>
        </is>
      </c>
      <c r="B13" s="9" t="inlineStr">
        <is>
          <t>P1-007</t>
        </is>
      </c>
      <c r="C13" s="9" t="inlineStr">
        <is>
          <t>画面</t>
        </is>
      </c>
      <c r="D13" s="9" t="inlineStr">
        <is>
          <t>home</t>
        </is>
      </c>
      <c r="E13" s="9" t="inlineStr">
        <is>
          <t>Home画面モック作成</t>
        </is>
      </c>
      <c r="F13" s="9" t="inlineStr">
        <is>
          <t>Home画面のレイアウト、主要導線、プレースホルダ情報を置く</t>
        </is>
      </c>
      <c r="G13" s="9" t="inlineStr">
        <is>
          <t>Home画面が遷移対象として成立している</t>
        </is>
      </c>
      <c r="H13" s="9" t="inlineStr">
        <is>
          <t>P1-005</t>
        </is>
      </c>
      <c r="I13" s="9" t="inlineStr">
        <is>
          <t>中</t>
        </is>
      </c>
      <c r="J13" s="10" t="n">
        <v>0.5</v>
      </c>
      <c r="K13" s="9" t="inlineStr">
        <is>
          <t>未着手</t>
        </is>
      </c>
      <c r="L13" s="9" t="inlineStr"/>
      <c r="M13" s="9" t="inlineStr"/>
      <c r="N13" s="9" t="inlineStr"/>
      <c r="O13" s="9" t="inlineStr"/>
    </row>
    <row r="14" ht="32" customHeight="1">
      <c r="A14" s="11" t="inlineStr">
        <is>
          <t>2.4</t>
        </is>
      </c>
      <c r="B14" s="11" t="inlineStr">
        <is>
          <t>P1-008</t>
        </is>
      </c>
      <c r="C14" s="11" t="inlineStr">
        <is>
          <t>画面</t>
        </is>
      </c>
      <c r="D14" s="11" t="inlineStr">
        <is>
          <t>wait/setup</t>
        </is>
      </c>
      <c r="E14" s="11" t="inlineStr">
        <is>
          <t>Wait/Setup画面モック作成</t>
        </is>
      </c>
      <c r="F14" s="11" t="inlineStr">
        <is>
          <t>ロード中・初期設定画面の骨格を作る</t>
        </is>
      </c>
      <c r="G14" s="11" t="inlineStr">
        <is>
          <t>Wait/Setupが遷移表示できる</t>
        </is>
      </c>
      <c r="H14" s="11" t="inlineStr">
        <is>
          <t>P1-005</t>
        </is>
      </c>
      <c r="I14" s="11" t="inlineStr">
        <is>
          <t>低</t>
        </is>
      </c>
      <c r="J14" s="12" t="n">
        <v>0.5</v>
      </c>
      <c r="K14" s="11" t="inlineStr">
        <is>
          <t>未着手</t>
        </is>
      </c>
      <c r="L14" s="11" t="inlineStr"/>
      <c r="M14" s="11" t="inlineStr"/>
      <c r="N14" s="11" t="inlineStr"/>
      <c r="O14" s="11" t="inlineStr"/>
    </row>
    <row r="15" ht="32" customHeight="1">
      <c r="A15" s="9" t="inlineStr">
        <is>
          <t>3.1</t>
        </is>
      </c>
      <c r="B15" s="9" t="inlineStr">
        <is>
          <t>P1-009</t>
        </is>
      </c>
      <c r="C15" s="9" t="inlineStr">
        <is>
          <t>画面</t>
        </is>
      </c>
      <c r="D15" s="9" t="inlineStr">
        <is>
          <t>autoframing</t>
        </is>
      </c>
      <c r="E15" s="9" t="inlineStr">
        <is>
          <t>Autoframingメイン画面骨格</t>
        </is>
      </c>
      <c r="F15" s="9" t="inlineStr">
        <is>
          <t>主要パネル、ボタン群、ステータス表示領域を配置する</t>
        </is>
      </c>
      <c r="G15" s="9" t="inlineStr">
        <is>
          <t>静的なAutoframing画面がReact版に近い構造で表示される</t>
        </is>
      </c>
      <c r="H15" s="9" t="inlineStr">
        <is>
          <t>P1-005,P1-004</t>
        </is>
      </c>
      <c r="I15" s="9" t="inlineStr">
        <is>
          <t>高</t>
        </is>
      </c>
      <c r="J15" s="10" t="n">
        <v>1.5</v>
      </c>
      <c r="K15" s="9" t="inlineStr">
        <is>
          <t>未着手</t>
        </is>
      </c>
      <c r="L15" s="9" t="inlineStr"/>
      <c r="M15" s="9" t="inlineStr"/>
      <c r="N15" s="9" t="inlineStr"/>
      <c r="O15" s="9" t="inlineStr"/>
    </row>
    <row r="16" ht="32" customHeight="1">
      <c r="A16" s="11" t="inlineStr">
        <is>
          <t>3.2</t>
        </is>
      </c>
      <c r="B16" s="11" t="inlineStr">
        <is>
          <t>P1-010</t>
        </is>
      </c>
      <c r="C16" s="11" t="inlineStr">
        <is>
          <t>画面</t>
        </is>
      </c>
      <c r="D16" s="11" t="inlineStr">
        <is>
          <t>camera_control</t>
        </is>
      </c>
      <c r="E16" s="11" t="inlineStr">
        <is>
          <t>Camera Control画面骨格</t>
        </is>
      </c>
      <c r="F16" s="11" t="inlineStr">
        <is>
          <t>PTZ、preset、slider、detail setting領域の配置を作る</t>
        </is>
      </c>
      <c r="G16" s="11" t="inlineStr">
        <is>
          <t>Camera Controlの主要ブロックが表示される</t>
        </is>
      </c>
      <c r="H16" s="11" t="inlineStr">
        <is>
          <t>P1-005,P1-004</t>
        </is>
      </c>
      <c r="I16" s="11" t="inlineStr">
        <is>
          <t>高</t>
        </is>
      </c>
      <c r="J16" s="12" t="n">
        <v>1.5</v>
      </c>
      <c r="K16" s="11" t="inlineStr">
        <is>
          <t>未着手</t>
        </is>
      </c>
      <c r="L16" s="11" t="inlineStr"/>
      <c r="M16" s="11" t="inlineStr"/>
      <c r="N16" s="11" t="inlineStr"/>
      <c r="O16" s="11" t="inlineStr"/>
    </row>
    <row r="17" ht="32" customHeight="1">
      <c r="A17" s="9" t="inlineStr">
        <is>
          <t>3.3</t>
        </is>
      </c>
      <c r="B17" s="9" t="inlineStr">
        <is>
          <t>P1-011</t>
        </is>
      </c>
      <c r="C17" s="9" t="inlineStr">
        <is>
          <t>画面</t>
        </is>
      </c>
      <c r="D17" s="9" t="inlineStr">
        <is>
          <t>single/multiple camera</t>
        </is>
      </c>
      <c r="E17" s="9" t="inlineStr">
        <is>
          <t>Single/Multiple camera補助画面モック</t>
        </is>
      </c>
      <c r="F17" s="9" t="inlineStr">
        <is>
          <t>関連画面の最低限レイアウトと遷移を作る</t>
        </is>
      </c>
      <c r="G17" s="9" t="inlineStr">
        <is>
          <t>補助画面へ遷移して構成確認できる</t>
        </is>
      </c>
      <c r="H17" s="9" t="inlineStr">
        <is>
          <t>P1-005</t>
        </is>
      </c>
      <c r="I17" s="9" t="inlineStr">
        <is>
          <t>中</t>
        </is>
      </c>
      <c r="J17" s="10" t="n">
        <v>1</v>
      </c>
      <c r="K17" s="9" t="inlineStr">
        <is>
          <t>未着手</t>
        </is>
      </c>
      <c r="L17" s="9" t="inlineStr"/>
      <c r="M17" s="9" t="inlineStr"/>
      <c r="N17" s="9" t="inlineStr"/>
      <c r="O17" s="9" t="inlineStr"/>
    </row>
    <row r="18" ht="32" customHeight="1">
      <c r="A18" s="11" t="inlineStr">
        <is>
          <t>3.4</t>
        </is>
      </c>
      <c r="B18" s="11" t="inlineStr">
        <is>
          <t>P1-012</t>
        </is>
      </c>
      <c r="C18" s="11" t="inlineStr">
        <is>
          <t>画面</t>
        </is>
      </c>
      <c r="D18" s="11" t="inlineStr">
        <is>
          <t>modal</t>
        </is>
      </c>
      <c r="E18" s="11" t="inlineStr">
        <is>
          <t>モーダル共通枠作成</t>
        </is>
      </c>
      <c r="F18" s="11" t="inlineStr">
        <is>
          <t>alert/confirm/select_face 等に使える共通モーダルを作る</t>
        </is>
      </c>
      <c r="G18" s="11" t="inlineStr">
        <is>
          <t>開閉・オーバーレイ・閉じる動作が共通化されている</t>
        </is>
      </c>
      <c r="H18" s="11" t="inlineStr">
        <is>
          <t>P1-002</t>
        </is>
      </c>
      <c r="I18" s="11" t="inlineStr">
        <is>
          <t>高</t>
        </is>
      </c>
      <c r="J18" s="12" t="n">
        <v>1</v>
      </c>
      <c r="K18" s="11" t="inlineStr">
        <is>
          <t>未着手</t>
        </is>
      </c>
      <c r="L18" s="11" t="inlineStr"/>
      <c r="M18" s="11" t="inlineStr"/>
      <c r="N18" s="11" t="inlineStr"/>
      <c r="O18" s="11" t="inlineStr"/>
    </row>
    <row r="19" ht="32" customHeight="1">
      <c r="A19" s="9" t="inlineStr">
        <is>
          <t>4.1</t>
        </is>
      </c>
      <c r="B19" s="9" t="inlineStr">
        <is>
          <t>P1-013</t>
        </is>
      </c>
      <c r="C19" s="9" t="inlineStr">
        <is>
          <t>共通UI</t>
        </is>
      </c>
      <c r="D19" s="9" t="inlineStr">
        <is>
          <t>components</t>
        </is>
      </c>
      <c r="E19" s="9" t="inlineStr">
        <is>
          <t>ボタン状態表現の共通化</t>
        </is>
      </c>
      <c r="F19" s="9" t="inlineStr">
        <is>
          <t>normal/onMouse/selected/disable をclassで切替える</t>
        </is>
      </c>
      <c r="G19" s="9" t="inlineStr">
        <is>
          <t>ボタン状態が部品化され再利用できる</t>
        </is>
      </c>
      <c r="H19" s="9" t="inlineStr">
        <is>
          <t>P1-003</t>
        </is>
      </c>
      <c r="I19" s="9" t="inlineStr">
        <is>
          <t>高</t>
        </is>
      </c>
      <c r="J19" s="10" t="n">
        <v>1</v>
      </c>
      <c r="K19" s="9" t="inlineStr">
        <is>
          <t>未着手</t>
        </is>
      </c>
      <c r="L19" s="9" t="inlineStr"/>
      <c r="M19" s="9" t="inlineStr"/>
      <c r="N19" s="9" t="inlineStr"/>
      <c r="O19" s="9" t="inlineStr"/>
    </row>
    <row r="20" ht="32" customHeight="1">
      <c r="A20" s="11" t="inlineStr">
        <is>
          <t>4.2</t>
        </is>
      </c>
      <c r="B20" s="11" t="inlineStr">
        <is>
          <t>P1-014</t>
        </is>
      </c>
      <c r="C20" s="11" t="inlineStr">
        <is>
          <t>共通UI</t>
        </is>
      </c>
      <c r="D20" s="11" t="inlineStr">
        <is>
          <t>components</t>
        </is>
      </c>
      <c r="E20" s="11" t="inlineStr">
        <is>
          <t>checkbox/radio/selectの共通部品化</t>
        </is>
      </c>
      <c r="F20" s="11" t="inlineStr">
        <is>
          <t>見た目とイベントの共通ラッパを作る</t>
        </is>
      </c>
      <c r="G20" s="11" t="inlineStr">
        <is>
          <t>複数画面で同じUI部品を利用できる</t>
        </is>
      </c>
      <c r="H20" s="11" t="inlineStr">
        <is>
          <t>P1-003</t>
        </is>
      </c>
      <c r="I20" s="11" t="inlineStr">
        <is>
          <t>中</t>
        </is>
      </c>
      <c r="J20" s="12" t="n">
        <v>1</v>
      </c>
      <c r="K20" s="11" t="inlineStr">
        <is>
          <t>未着手</t>
        </is>
      </c>
      <c r="L20" s="11" t="inlineStr"/>
      <c r="M20" s="11" t="inlineStr"/>
      <c r="N20" s="11" t="inlineStr"/>
      <c r="O20" s="11" t="inlineStr"/>
    </row>
    <row r="21" ht="32" customHeight="1">
      <c r="A21" s="9" t="inlineStr">
        <is>
          <t>4.3</t>
        </is>
      </c>
      <c r="B21" s="9" t="inlineStr">
        <is>
          <t>P1-015</t>
        </is>
      </c>
      <c r="C21" s="9" t="inlineStr">
        <is>
          <t>共通UI</t>
        </is>
      </c>
      <c r="D21" s="9" t="inlineStr">
        <is>
          <t>components</t>
        </is>
      </c>
      <c r="E21" s="9" t="inlineStr">
        <is>
          <t>slider UIモック作成</t>
        </is>
      </c>
      <c r="F21" s="9" t="inlineStr">
        <is>
          <t>zoom/sensitivity/pan_tilt 用の共通slider操作を作る</t>
        </is>
      </c>
      <c r="G21" s="9" t="inlineStr">
        <is>
          <t>ドラッグまたはクリックで値変更の見た目確認ができる</t>
        </is>
      </c>
      <c r="H21" s="9" t="inlineStr">
        <is>
          <t>P1-003</t>
        </is>
      </c>
      <c r="I21" s="9" t="inlineStr">
        <is>
          <t>高</t>
        </is>
      </c>
      <c r="J21" s="10" t="n">
        <v>1</v>
      </c>
      <c r="K21" s="9" t="inlineStr">
        <is>
          <t>未着手</t>
        </is>
      </c>
      <c r="L21" s="9" t="inlineStr"/>
      <c r="M21" s="9" t="inlineStr"/>
      <c r="N21" s="9" t="inlineStr"/>
      <c r="O21" s="9" t="inlineStr"/>
    </row>
    <row r="22" ht="32" customHeight="1">
      <c r="A22" s="11" t="inlineStr">
        <is>
          <t>4.4</t>
        </is>
      </c>
      <c r="B22" s="11" t="inlineStr">
        <is>
          <t>P1-016</t>
        </is>
      </c>
      <c r="C22" s="11" t="inlineStr">
        <is>
          <t>共通UI</t>
        </is>
      </c>
      <c r="D22" s="11" t="inlineStr">
        <is>
          <t>components</t>
        </is>
      </c>
      <c r="E22" s="11" t="inlineStr">
        <is>
          <t>パネル開閉・タブ切替</t>
        </is>
      </c>
      <c r="F22" s="11" t="inlineStr">
        <is>
          <t>詳細設定や補助パネルの表示/非表示切替を作る</t>
        </is>
      </c>
      <c r="G22" s="11" t="inlineStr">
        <is>
          <t>タブ/開閉UIが仕様確認に使える</t>
        </is>
      </c>
      <c r="H22" s="11" t="inlineStr">
        <is>
          <t>P1-002</t>
        </is>
      </c>
      <c r="I22" s="11" t="inlineStr">
        <is>
          <t>中</t>
        </is>
      </c>
      <c r="J22" s="12" t="n">
        <v>0.5</v>
      </c>
      <c r="K22" s="11" t="inlineStr">
        <is>
          <t>未着手</t>
        </is>
      </c>
      <c r="L22" s="11" t="inlineStr"/>
      <c r="M22" s="11" t="inlineStr"/>
      <c r="N22" s="11" t="inlineStr"/>
      <c r="O22" s="11" t="inlineStr"/>
    </row>
    <row r="23" ht="32" customHeight="1">
      <c r="A23" s="9" t="inlineStr">
        <is>
          <t>5.1</t>
        </is>
      </c>
      <c r="B23" s="9" t="inlineStr">
        <is>
          <t>P1-017</t>
        </is>
      </c>
      <c r="C23" s="9" t="inlineStr">
        <is>
          <t>状態</t>
        </is>
      </c>
      <c r="D23" s="9" t="inlineStr">
        <is>
          <t>state</t>
        </is>
      </c>
      <c r="E23" s="9" t="inlineStr">
        <is>
          <t>appState骨格作成</t>
        </is>
      </c>
      <c r="F23" s="9" t="inlineStr">
        <is>
          <t>currentPage/selectedCameraId/trackingEnabled/dialogState 等の最小状態を定義する</t>
        </is>
      </c>
      <c r="G23" s="9" t="inlineStr">
        <is>
          <t>必要最小限の状態が1か所に集約される</t>
        </is>
      </c>
      <c r="H23" s="9" t="inlineStr">
        <is>
          <t>P1-001</t>
        </is>
      </c>
      <c r="I23" s="9" t="inlineStr">
        <is>
          <t>高</t>
        </is>
      </c>
      <c r="J23" s="10" t="n">
        <v>1</v>
      </c>
      <c r="K23" s="9" t="inlineStr">
        <is>
          <t>未着手</t>
        </is>
      </c>
      <c r="L23" s="9" t="inlineStr"/>
      <c r="M23" s="9" t="inlineStr"/>
      <c r="N23" s="9" t="inlineStr"/>
      <c r="O23" s="9" t="inlineStr"/>
    </row>
    <row r="24" ht="32" customHeight="1">
      <c r="A24" s="11" t="inlineStr">
        <is>
          <t>5.2</t>
        </is>
      </c>
      <c r="B24" s="11" t="inlineStr">
        <is>
          <t>P1-018</t>
        </is>
      </c>
      <c r="C24" s="11" t="inlineStr">
        <is>
          <t>状態</t>
        </is>
      </c>
      <c r="D24" s="11" t="inlineStr">
        <is>
          <t>state</t>
        </is>
      </c>
      <c r="E24" s="11" t="inlineStr">
        <is>
          <t>render/updateルール定義</t>
        </is>
      </c>
      <c r="F24" s="11" t="inlineStr">
        <is>
          <t>state変更時にどのDOMを再描画するか関数分割する</t>
        </is>
      </c>
      <c r="G24" s="11" t="inlineStr">
        <is>
          <t>イベント→state更新→再描画の流れが固定される</t>
        </is>
      </c>
      <c r="H24" s="11" t="inlineStr">
        <is>
          <t>P1-017</t>
        </is>
      </c>
      <c r="I24" s="11" t="inlineStr">
        <is>
          <t>高</t>
        </is>
      </c>
      <c r="J24" s="12" t="n">
        <v>1</v>
      </c>
      <c r="K24" s="11" t="inlineStr">
        <is>
          <t>未着手</t>
        </is>
      </c>
      <c r="L24" s="11" t="inlineStr"/>
      <c r="M24" s="11" t="inlineStr"/>
      <c r="N24" s="11" t="inlineStr"/>
      <c r="O24" s="11" t="inlineStr"/>
    </row>
    <row r="25" ht="32" customHeight="1">
      <c r="A25" s="9" t="inlineStr">
        <is>
          <t>5.3</t>
        </is>
      </c>
      <c r="B25" s="9" t="inlineStr">
        <is>
          <t>P1-019</t>
        </is>
      </c>
      <c r="C25" s="9" t="inlineStr">
        <is>
          <t>状態</t>
        </is>
      </c>
      <c r="D25" s="9" t="inlineStr">
        <is>
          <t>autoframing/camera_control</t>
        </is>
      </c>
      <c r="E25" s="9" t="inlineStr">
        <is>
          <t>フォーム入力バインド</t>
        </is>
      </c>
      <c r="F25" s="9" t="inlineStr">
        <is>
          <t>スイッチ・slider・select を state と同期する</t>
        </is>
      </c>
      <c r="G25" s="9" t="inlineStr">
        <is>
          <t>入力値変更が画面表示へ反映される</t>
        </is>
      </c>
      <c r="H25" s="9" t="inlineStr">
        <is>
          <t>P1-017,P1-015</t>
        </is>
      </c>
      <c r="I25" s="9" t="inlineStr">
        <is>
          <t>高</t>
        </is>
      </c>
      <c r="J25" s="10" t="n">
        <v>1</v>
      </c>
      <c r="K25" s="9" t="inlineStr">
        <is>
          <t>未着手</t>
        </is>
      </c>
      <c r="L25" s="9" t="inlineStr"/>
      <c r="M25" s="9" t="inlineStr"/>
      <c r="N25" s="9" t="inlineStr"/>
      <c r="O25" s="9" t="inlineStr"/>
    </row>
    <row r="26" ht="32" customHeight="1">
      <c r="A26" s="11" t="inlineStr">
        <is>
          <t>6.1</t>
        </is>
      </c>
      <c r="B26" s="11" t="inlineStr">
        <is>
          <t>P1-020</t>
        </is>
      </c>
      <c r="C26" s="11" t="inlineStr">
        <is>
          <t>スタブ通信</t>
        </is>
      </c>
      <c r="D26" s="11" t="inlineStr">
        <is>
          <t>apiStub</t>
        </is>
      </c>
      <c r="E26" s="11" t="inlineStr">
        <is>
          <t>cameraApiスタブ層作成</t>
        </is>
      </c>
      <c r="F26" s="11" t="inlineStr">
        <is>
          <t>getStatus/setTrackingMode/start/stop/savePreset などのダミーAPIを実装する</t>
        </is>
      </c>
      <c r="G26" s="11" t="inlineStr">
        <is>
          <t>UIから直接ajaxせず、API層経由で呼び出せる</t>
        </is>
      </c>
      <c r="H26" s="11" t="inlineStr">
        <is>
          <t>P1-001</t>
        </is>
      </c>
      <c r="I26" s="11" t="inlineStr">
        <is>
          <t>高</t>
        </is>
      </c>
      <c r="J26" s="12" t="n">
        <v>1</v>
      </c>
      <c r="K26" s="11" t="inlineStr">
        <is>
          <t>未着手</t>
        </is>
      </c>
      <c r="L26" s="11" t="inlineStr"/>
      <c r="M26" s="11" t="inlineStr"/>
      <c r="N26" s="11" t="inlineStr"/>
      <c r="O26" s="11" t="inlineStr"/>
    </row>
    <row r="27" ht="32" customHeight="1">
      <c r="A27" s="9" t="inlineStr">
        <is>
          <t>6.2</t>
        </is>
      </c>
      <c r="B27" s="9" t="inlineStr">
        <is>
          <t>P1-021</t>
        </is>
      </c>
      <c r="C27" s="9" t="inlineStr">
        <is>
          <t>スタブ通信</t>
        </is>
      </c>
      <c r="D27" s="9" t="inlineStr">
        <is>
          <t>apiStub</t>
        </is>
      </c>
      <c r="E27" s="9" t="inlineStr">
        <is>
          <t>ダミーデータ定義</t>
        </is>
      </c>
      <c r="F27" s="9" t="inlineStr">
        <is>
          <t>カメラ状態、プリセット、トラッキング状態のJSONを整備する</t>
        </is>
      </c>
      <c r="G27" s="9" t="inlineStr">
        <is>
          <t>主要画面を動かすダミーJSONが揃う</t>
        </is>
      </c>
      <c r="H27" s="9" t="inlineStr">
        <is>
          <t>P1-020</t>
        </is>
      </c>
      <c r="I27" s="9" t="inlineStr">
        <is>
          <t>中</t>
        </is>
      </c>
      <c r="J27" s="10" t="n">
        <v>0.5</v>
      </c>
      <c r="K27" s="9" t="inlineStr">
        <is>
          <t>未着手</t>
        </is>
      </c>
      <c r="L27" s="9" t="inlineStr"/>
      <c r="M27" s="9" t="inlineStr"/>
      <c r="N27" s="9" t="inlineStr"/>
      <c r="O27" s="9" t="inlineStr"/>
    </row>
    <row r="28" ht="32" customHeight="1">
      <c r="A28" s="11" t="inlineStr">
        <is>
          <t>6.3</t>
        </is>
      </c>
      <c r="B28" s="11" t="inlineStr">
        <is>
          <t>P1-022</t>
        </is>
      </c>
      <c r="C28" s="11" t="inlineStr">
        <is>
          <t>スタブ通信</t>
        </is>
      </c>
      <c r="D28" s="11" t="inlineStr">
        <is>
          <t>autoframing/camera_control</t>
        </is>
      </c>
      <c r="E28" s="11" t="inlineStr">
        <is>
          <t>主要操作のスタブ連携</t>
        </is>
      </c>
      <c r="F28" s="11" t="inlineStr">
        <is>
          <t>start/stop/refresh/save などを押すと画面状態が変化するようにする</t>
        </is>
      </c>
      <c r="G28" s="11" t="inlineStr">
        <is>
          <t>操作に応じて状態変化が再現される</t>
        </is>
      </c>
      <c r="H28" s="11" t="inlineStr">
        <is>
          <t>P1-020,P1-021,P1-019</t>
        </is>
      </c>
      <c r="I28" s="11" t="inlineStr">
        <is>
          <t>高</t>
        </is>
      </c>
      <c r="J28" s="12" t="n">
        <v>1</v>
      </c>
      <c r="K28" s="11" t="inlineStr">
        <is>
          <t>未着手</t>
        </is>
      </c>
      <c r="L28" s="11" t="inlineStr"/>
      <c r="M28" s="11" t="inlineStr"/>
      <c r="N28" s="11" t="inlineStr"/>
      <c r="O28" s="11" t="inlineStr"/>
    </row>
    <row r="29" ht="32" customHeight="1">
      <c r="A29" s="9" t="inlineStr">
        <is>
          <t>7.1</t>
        </is>
      </c>
      <c r="B29" s="9" t="inlineStr">
        <is>
          <t>P1-023</t>
        </is>
      </c>
      <c r="C29" s="9" t="inlineStr">
        <is>
          <t>検証</t>
        </is>
      </c>
      <c r="D29" s="9" t="inlineStr">
        <is>
          <t>全体</t>
        </is>
      </c>
      <c r="E29" s="9" t="inlineStr">
        <is>
          <t>画面レビュー用シナリオ作成</t>
        </is>
      </c>
      <c r="F29" s="9" t="inlineStr">
        <is>
          <t>遷移・モーダル・スタブ操作の確認手順を整理する</t>
        </is>
      </c>
      <c r="G29" s="9" t="inlineStr">
        <is>
          <t>レビュー観点が一覧化されている</t>
        </is>
      </c>
      <c r="H29" s="9" t="inlineStr">
        <is>
          <t>P1-009,P1-010,P1-022</t>
        </is>
      </c>
      <c r="I29" s="9" t="inlineStr">
        <is>
          <t>中</t>
        </is>
      </c>
      <c r="J29" s="10" t="n">
        <v>0.5</v>
      </c>
      <c r="K29" s="9" t="inlineStr">
        <is>
          <t>未着手</t>
        </is>
      </c>
      <c r="L29" s="9" t="inlineStr"/>
      <c r="M29" s="9" t="inlineStr"/>
      <c r="N29" s="9" t="inlineStr"/>
      <c r="O29" s="9" t="inlineStr"/>
    </row>
    <row r="30" ht="32" customHeight="1">
      <c r="A30" s="11" t="inlineStr">
        <is>
          <t>7.2</t>
        </is>
      </c>
      <c r="B30" s="11" t="inlineStr">
        <is>
          <t>P1-024</t>
        </is>
      </c>
      <c r="C30" s="11" t="inlineStr">
        <is>
          <t>検証</t>
        </is>
      </c>
      <c r="D30" s="11" t="inlineStr">
        <is>
          <t>全体</t>
        </is>
      </c>
      <c r="E30" s="11" t="inlineStr">
        <is>
          <t>レビュー反映・モック整形</t>
        </is>
      </c>
      <c r="F30" s="11" t="inlineStr">
        <is>
          <t>指摘反映、見た目微調整、不要要素削除を行う</t>
        </is>
      </c>
      <c r="G30" s="11" t="inlineStr">
        <is>
          <t>関係者レビューに出せるモック品質になる</t>
        </is>
      </c>
      <c r="H30" s="11" t="inlineStr">
        <is>
          <t>P1-023</t>
        </is>
      </c>
      <c r="I30" s="11" t="inlineStr">
        <is>
          <t>高</t>
        </is>
      </c>
      <c r="J30" s="12" t="n">
        <v>1</v>
      </c>
      <c r="K30" s="11" t="inlineStr">
        <is>
          <t>未着手</t>
        </is>
      </c>
      <c r="L30" s="11" t="inlineStr"/>
      <c r="M30" s="11" t="inlineStr"/>
      <c r="N30" s="11" t="inlineStr"/>
      <c r="O30" s="11" t="inlineStr"/>
    </row>
    <row r="31" ht="32" customHeight="1">
      <c r="A31" s="9" t="inlineStr">
        <is>
          <t>7.3</t>
        </is>
      </c>
      <c r="B31" s="9" t="inlineStr">
        <is>
          <t>P1-025</t>
        </is>
      </c>
      <c r="C31" s="9" t="inlineStr">
        <is>
          <t>引継ぎ</t>
        </is>
      </c>
      <c r="D31" s="9" t="inlineStr">
        <is>
          <t>全体</t>
        </is>
      </c>
      <c r="E31" s="9" t="inlineStr">
        <is>
          <t>フェーズ1成果物整理</t>
        </is>
      </c>
      <c r="F31" s="9" t="inlineStr">
        <is>
          <t>実装構成、既知課題、フェーズ2への引継ぎ事項を残す</t>
        </is>
      </c>
      <c r="G31" s="9" t="inlineStr">
        <is>
          <t>次フェーズへ移れる成果物一式が揃う</t>
        </is>
      </c>
      <c r="H31" s="9" t="inlineStr">
        <is>
          <t>P1-024</t>
        </is>
      </c>
      <c r="I31" s="9" t="inlineStr">
        <is>
          <t>中</t>
        </is>
      </c>
      <c r="J31" s="10" t="n">
        <v>0.5</v>
      </c>
      <c r="K31" s="9" t="inlineStr">
        <is>
          <t>未着手</t>
        </is>
      </c>
      <c r="L31" s="9" t="inlineStr"/>
      <c r="M31" s="9" t="inlineStr"/>
      <c r="N31" s="9" t="inlineStr"/>
      <c r="O31" s="9" t="inlineStr"/>
    </row>
  </sheetData>
  <autoFilter ref="A6:O31"/>
  <mergeCells count="4">
    <mergeCell ref="A1:O1"/>
    <mergeCell ref="B3:O3"/>
    <mergeCell ref="B4:O4"/>
    <mergeCell ref="B2:O2"/>
  </mergeCells>
  <conditionalFormatting sqref="A7:O31">
    <cfRule type="expression" priority="1" dxfId="0">
      <formula>$K7="完了"</formula>
    </cfRule>
    <cfRule type="expression" priority="2" dxfId="1">
      <formula>$K7="進行中"</formula>
    </cfRule>
    <cfRule type="expression" priority="3" dxfId="2">
      <formula>$K7="レビュー待ち"</formula>
    </cfRule>
    <cfRule type="expression" priority="4" dxfId="3">
      <formula>$K7="ブロック"</formula>
    </cfRule>
  </conditionalFormatting>
  <dataValidations count="2">
    <dataValidation sqref="K7:K31" showDropDown="0" showInputMessage="0" showErrorMessage="0" allowBlank="1" type="list">
      <formula1>=設定!$A$2:$A$6</formula1>
    </dataValidation>
    <dataValidation sqref="I7:I31" showDropDown="0" showInputMessage="0" showErrorMessage="0" allowBlank="1" type="list">
      <formula1>=設定!$B$2:$B$4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ステータス</t>
        </is>
      </c>
      <c r="B1" t="inlineStr">
        <is>
          <t>優先度</t>
        </is>
      </c>
    </row>
    <row r="2">
      <c r="A2" t="inlineStr">
        <is>
          <t>未着手</t>
        </is>
      </c>
      <c r="B2" t="inlineStr">
        <is>
          <t>高</t>
        </is>
      </c>
    </row>
    <row r="3">
      <c r="A3" t="inlineStr">
        <is>
          <t>進行中</t>
        </is>
      </c>
      <c r="B3" t="inlineStr">
        <is>
          <t>中</t>
        </is>
      </c>
    </row>
    <row r="4">
      <c r="A4" t="inlineStr">
        <is>
          <t>レビュー待ち</t>
        </is>
      </c>
      <c r="B4" t="inlineStr">
        <is>
          <t>低</t>
        </is>
      </c>
    </row>
    <row r="5">
      <c r="A5" t="inlineStr">
        <is>
          <t>完了</t>
        </is>
      </c>
    </row>
    <row r="6">
      <c r="A6" t="inlineStr">
        <is>
          <t>ブロック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>
      <c r="A1" s="13" t="inlineStr">
        <is>
          <t>使い方 / 運用ルール</t>
        </is>
      </c>
    </row>
    <row r="3">
      <c r="A3" s="14" t="inlineStr">
        <is>
          <t>推奨</t>
        </is>
      </c>
      <c r="B3" s="15" t="inlineStr">
        <is>
          <t>Excelで進捗管理するのが適切。担当・期限・ステータス更新、並べ替え、フィルタ、集計がしやすい。</t>
        </is>
      </c>
      <c r="C3" s="15" t="n"/>
      <c r="D3" s="15" t="n"/>
      <c r="E3" s="15" t="n"/>
      <c r="F3" s="15" t="n"/>
    </row>
    <row r="4">
      <c r="A4" s="14" t="inlineStr">
        <is>
          <t>運用単位</t>
        </is>
      </c>
      <c r="B4" s="15" t="inlineStr">
        <is>
          <t>1行=1チケット。実装の途中で分割が必要なら、チケットIDを枝番で追加する。</t>
        </is>
      </c>
      <c r="C4" s="15" t="n"/>
      <c r="D4" s="15" t="n"/>
      <c r="E4" s="15" t="n"/>
      <c r="F4" s="15" t="n"/>
    </row>
    <row r="5">
      <c r="A5" s="14" t="inlineStr">
        <is>
          <t>更新ルール</t>
        </is>
      </c>
      <c r="B5" s="15" t="inlineStr">
        <is>
          <t>最低でも ステータス / 担当 / 開始予定 / 期限 / 備考 を更新する。</t>
        </is>
      </c>
      <c r="C5" s="15" t="n"/>
      <c r="D5" s="15" t="n"/>
      <c r="E5" s="15" t="n"/>
      <c r="F5" s="15" t="n"/>
    </row>
    <row r="6">
      <c r="A6" s="14" t="inlineStr">
        <is>
          <t>ステータス定義</t>
        </is>
      </c>
      <c r="B6" s="15" t="inlineStr">
        <is>
          <t>未着手=未開始、進行中=実装中、レビュー待ち=セルフ確認済み、完了=受入条件達成、ブロック=外部待ち。</t>
        </is>
      </c>
      <c r="C6" s="15" t="n"/>
      <c r="D6" s="15" t="n"/>
      <c r="E6" s="15" t="n"/>
      <c r="F6" s="15" t="n"/>
    </row>
    <row r="7">
      <c r="A7" s="14" t="inlineStr">
        <is>
          <t>フェーズ1完了条件</t>
        </is>
      </c>
      <c r="B7" s="15" t="inlineStr">
        <is>
          <t>主要画面が遷移可能、UI状態が切替可能、スタブで主要操作が再現可能、レビュー用モックとして提示できること。</t>
        </is>
      </c>
      <c r="C7" s="15" t="n"/>
      <c r="D7" s="15" t="n"/>
      <c r="E7" s="15" t="n"/>
      <c r="F7" s="15" t="n"/>
    </row>
    <row r="8">
      <c r="A8" s="14" t="inlineStr">
        <is>
          <t>フェーズ2へ渡すもの</t>
        </is>
      </c>
      <c r="B8" s="15" t="inlineStr">
        <is>
          <t>画面一覧、状態一覧、APIスタブ一覧、既知課題、実機cgi差し替え候補。</t>
        </is>
      </c>
      <c r="C8" s="15" t="n"/>
      <c r="D8" s="15" t="n"/>
      <c r="E8" s="15" t="n"/>
      <c r="F8" s="15" t="n"/>
    </row>
    <row r="9">
      <c r="A9" s="15" t="n"/>
      <c r="B9" s="15" t="n"/>
      <c r="C9" s="15" t="n"/>
      <c r="D9" s="15" t="n"/>
      <c r="E9" s="15" t="n"/>
      <c r="F9" s="15" t="n"/>
    </row>
    <row r="10">
      <c r="A10" s="14" t="inlineStr">
        <is>
          <t>推奨レビュー観点</t>
        </is>
      </c>
      <c r="B10" s="15" t="n"/>
      <c r="C10" s="15" t="n"/>
      <c r="D10" s="15" t="n"/>
      <c r="E10" s="15" t="n"/>
      <c r="F10" s="15" t="n"/>
    </row>
    <row r="11">
      <c r="A11" s="15" t="n"/>
      <c r="B11" s="15" t="inlineStr">
        <is>
          <t>• 画面遷移が過不足なく定義されているか</t>
        </is>
      </c>
      <c r="C11" s="15" t="n"/>
      <c r="D11" s="15" t="n"/>
      <c r="E11" s="15" t="n"/>
      <c r="F11" s="15" t="n"/>
    </row>
    <row r="12">
      <c r="A12" s="15" t="n"/>
      <c r="B12" s="15" t="inlineStr">
        <is>
          <t>• React版の主要UIブロックが再現されているか</t>
        </is>
      </c>
      <c r="C12" s="15" t="n"/>
      <c r="D12" s="15" t="n"/>
      <c r="E12" s="15" t="n"/>
      <c r="F12" s="15" t="n"/>
    </row>
    <row r="13">
      <c r="A13" s="15" t="n"/>
      <c r="B13" s="15" t="inlineStr">
        <is>
          <t>• 状態がDOMに散っていないか</t>
        </is>
      </c>
      <c r="C13" s="15" t="n"/>
      <c r="D13" s="15" t="n"/>
      <c r="E13" s="15" t="n"/>
      <c r="F13" s="15" t="n"/>
    </row>
    <row r="14">
      <c r="A14" s="15" t="n"/>
      <c r="B14" s="15" t="inlineStr">
        <is>
          <t>• API呼び出しがスタブ層に集約されているか</t>
        </is>
      </c>
      <c r="C14" s="15" t="n"/>
      <c r="D14" s="15" t="n"/>
      <c r="E14" s="15" t="n"/>
      <c r="F14" s="15" t="n"/>
    </row>
    <row r="15">
      <c r="A15" s="15" t="n"/>
      <c r="B15" s="15" t="inlineStr">
        <is>
          <t>• 後でcgiへ置き換えやすい構造か</t>
        </is>
      </c>
      <c r="C15" s="15" t="n"/>
      <c r="D15" s="15" t="n"/>
      <c r="E15" s="15" t="n"/>
      <c r="F15" s="15" t="n"/>
    </row>
    <row r="16">
      <c r="A16" s="15" t="n"/>
      <c r="B16" s="15" t="n"/>
      <c r="C16" s="15" t="n"/>
      <c r="D16" s="15" t="n"/>
      <c r="E16" s="15" t="n"/>
      <c r="F16" s="1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2026-03-27T01:03:52Z</dcterms:created>
  <dcterms:modified xmlns:dcterms="http://purl.org/dc/terms/" xmlns:xsi="http://www.w3.org/2001/XMLSchema-instance" xsi:type="dcterms:W3CDTF">2026-03-27T01:05:25Z</dcterms:modified>
</cp:coreProperties>
</file>