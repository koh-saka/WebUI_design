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392903\Project\UE160\Doc\AutoFraming\design\"/>
    </mc:Choice>
  </mc:AlternateContent>
  <xr:revisionPtr revIDLastSave="0" documentId="13_ncr:1_{58F71758-43E4-47E7-BF2C-2F5ED5EE0062}" xr6:coauthVersionLast="47" xr6:coauthVersionMax="47" xr10:uidLastSave="{00000000-0000-0000-0000-000000000000}"/>
  <bookViews>
    <workbookView xWindow="32145" yWindow="2190" windowWidth="21480" windowHeight="11010" activeTab="6" xr2:uid="{F71AAE3F-7C21-4DFD-BCD4-D77406E54A7D}"/>
  </bookViews>
  <sheets>
    <sheet name="実装タスク一覧" sheetId="1" r:id="rId1"/>
    <sheet name="A-001" sheetId="4" r:id="rId2"/>
    <sheet name="A-002" sheetId="5" r:id="rId3"/>
    <sheet name="A-003作業表 旧" sheetId="7" r:id="rId4"/>
    <sheet name="A-003-2" sheetId="8" r:id="rId5"/>
    <sheet name="A-003-3" sheetId="10" r:id="rId6"/>
    <sheet name="A-003-3-1" sheetId="11" r:id="rId7"/>
    <sheet name="進捗ダッシュボード" sheetId="2" r:id="rId8"/>
    <sheet name="対応表" sheetId="3" r:id="rId9"/>
    <sheet name="先送り項目" sheetId="9" r:id="rId10"/>
    <sheet name="Sheet1" sheetId="12" r:id="rId11"/>
  </sheets>
  <definedNames>
    <definedName name="_xlnm._FilterDatabase" localSheetId="3" hidden="1">'A-003作業表 旧'!$A$1:$F$11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7" i="2"/>
  <c r="B7" i="2"/>
  <c r="C6" i="2"/>
  <c r="B6" i="2"/>
  <c r="C5" i="2"/>
  <c r="B5" i="2"/>
  <c r="D6" i="2" l="1"/>
  <c r="D7" i="2"/>
  <c r="D9" i="2"/>
  <c r="D5" i="2"/>
  <c r="D8" i="2"/>
</calcChain>
</file>

<file path=xl/sharedStrings.xml><?xml version="1.0" encoding="utf-8"?>
<sst xmlns="http://schemas.openxmlformats.org/spreadsheetml/2006/main" count="1134" uniqueCount="603">
  <si>
    <t>ID</t>
  </si>
  <si>
    <t>フェーズ</t>
  </si>
  <si>
    <t>タスク</t>
  </si>
  <si>
    <t>内容</t>
  </si>
  <si>
    <t>必須度</t>
  </si>
  <si>
    <t>不確実性</t>
  </si>
  <si>
    <t>状態</t>
  </si>
  <si>
    <t>備考</t>
  </si>
  <si>
    <t>A-001</t>
  </si>
  <si>
    <t>A</t>
  </si>
  <si>
    <t>プロジェクト骨格作成</t>
  </si>
  <si>
    <t>ディレクトリ・エントリHTML・JS初期化</t>
  </si>
  <si>
    <t>MVP</t>
  </si>
  <si>
    <t>低</t>
  </si>
  <si>
    <t>未着手</t>
  </si>
  <si>
    <t>A-002</t>
  </si>
  <si>
    <t>A-003</t>
  </si>
  <si>
    <t>画面コンテナ構造作成</t>
  </si>
  <si>
    <t>主要コンテナDOM再現</t>
  </si>
  <si>
    <t>A-004</t>
  </si>
  <si>
    <t>モーダル枠実装</t>
  </si>
  <si>
    <t>共通モーダルコンポーネント</t>
  </si>
  <si>
    <t>A-005</t>
  </si>
  <si>
    <t>主要画面モック作成</t>
  </si>
  <si>
    <t>Home/Autoframing等の静的配置</t>
  </si>
  <si>
    <t>B-001</t>
  </si>
  <si>
    <t>B</t>
  </si>
  <si>
    <t>state一覧抽出</t>
  </si>
  <si>
    <t>React挙動から状態洗い出し</t>
  </si>
  <si>
    <t>高</t>
  </si>
  <si>
    <t>重要</t>
  </si>
  <si>
    <t>B-002</t>
  </si>
  <si>
    <t>appState設計</t>
  </si>
  <si>
    <t>状態オブジェクト定義</t>
  </si>
  <si>
    <t>B-003</t>
  </si>
  <si>
    <t>renderルール設計</t>
  </si>
  <si>
    <t>state→DOM更新方針</t>
  </si>
  <si>
    <t>B-004</t>
  </si>
  <si>
    <t>初期状態定義</t>
  </si>
  <si>
    <t>state初期値統一</t>
  </si>
  <si>
    <t>中</t>
  </si>
  <si>
    <t>B-005</t>
  </si>
  <si>
    <t>state遷移整理</t>
  </si>
  <si>
    <t>イベント→state変化一覧</t>
  </si>
  <si>
    <t>C-001</t>
  </si>
  <si>
    <t>C</t>
  </si>
  <si>
    <t>イベント一覧作成</t>
  </si>
  <si>
    <t>click/change等洗い出し</t>
  </si>
  <si>
    <t>C-002</t>
  </si>
  <si>
    <t>イベント→state連携</t>
  </si>
  <si>
    <t>イベントからstate更新</t>
  </si>
  <si>
    <t>C-003</t>
  </si>
  <si>
    <t>共通UI部品化</t>
  </si>
  <si>
    <t>button/select/slider整理</t>
  </si>
  <si>
    <t>C-004</t>
  </si>
  <si>
    <t>イベント委譲設計</t>
  </si>
  <si>
    <t>動的要素対応</t>
  </si>
  <si>
    <t>C-005</t>
  </si>
  <si>
    <t>入力バインド統合</t>
  </si>
  <si>
    <t>input→state→render連携</t>
  </si>
  <si>
    <t>D-001</t>
  </si>
  <si>
    <t>D</t>
  </si>
  <si>
    <t>API一覧定義</t>
  </si>
  <si>
    <t>必要API洗い出し</t>
  </si>
  <si>
    <t>D-002</t>
  </si>
  <si>
    <t>API層骨格作成</t>
  </si>
  <si>
    <t>cameraApiインターフェース</t>
  </si>
  <si>
    <t>D-003</t>
  </si>
  <si>
    <t>スタブデータ作成</t>
  </si>
  <si>
    <t>ダミーレスポンス定義</t>
  </si>
  <si>
    <t>D-004</t>
  </si>
  <si>
    <t>UI→API接続</t>
  </si>
  <si>
    <t>イベントからAPI呼び出し</t>
  </si>
  <si>
    <t>D-005</t>
  </si>
  <si>
    <t>API→state反映</t>
  </si>
  <si>
    <t>レスポンスでstate更新</t>
  </si>
  <si>
    <t>E-001</t>
  </si>
  <si>
    <t>E</t>
  </si>
  <si>
    <t>結合確認</t>
  </si>
  <si>
    <t>UI/state/API連携確認</t>
  </si>
  <si>
    <t>E-002</t>
  </si>
  <si>
    <t>レビュー対応</t>
  </si>
  <si>
    <t>指摘反映</t>
  </si>
  <si>
    <t>E-003</t>
  </si>
  <si>
    <t>最終調整</t>
  </si>
  <si>
    <t>UX/バグ修正</t>
  </si>
  <si>
    <t>拡張</t>
  </si>
  <si>
    <t>進捗サマリ</t>
  </si>
  <si>
    <t>フェーズ別進捗</t>
  </si>
  <si>
    <t>総タスク</t>
  </si>
  <si>
    <t>完了</t>
  </si>
  <si>
    <t>進捗率</t>
  </si>
  <si>
    <t>UI操作</t>
  </si>
  <si>
    <t>Event</t>
  </si>
  <si>
    <t>State変更</t>
  </si>
  <si>
    <t>API</t>
  </si>
  <si>
    <t>ボタン押下</t>
  </si>
  <si>
    <t>click</t>
  </si>
  <si>
    <t>mode変更</t>
  </si>
  <si>
    <t>なし</t>
  </si>
  <si>
    <t>スライダー操作</t>
  </si>
  <si>
    <t>input/change</t>
  </si>
  <si>
    <t>value更新</t>
  </si>
  <si>
    <t>setParam</t>
  </si>
  <si>
    <t>開始ボタン</t>
  </si>
  <si>
    <t>isRunning=true</t>
  </si>
  <si>
    <t>startAutoFraming</t>
  </si>
  <si>
    <t>停止ボタン</t>
  </si>
  <si>
    <t>isRunning=false</t>
  </si>
  <si>
    <t>stopAutoFraming</t>
  </si>
  <si>
    <t>A-001</t>
    <phoneticPr fontId="3"/>
  </si>
  <si>
    <t>プロジェクト骨格作成</t>
    <rPh sb="6" eb="8">
      <t>コッカク</t>
    </rPh>
    <rPh sb="8" eb="10">
      <t>サクセイ</t>
    </rPh>
    <phoneticPr fontId="3"/>
  </si>
  <si>
    <t>期待結果</t>
    <rPh sb="0" eb="2">
      <t>キタイ</t>
    </rPh>
    <rPh sb="2" eb="4">
      <t>ケッカ</t>
    </rPh>
    <phoneticPr fontId="3"/>
  </si>
  <si>
    <t>作業</t>
    <rPh sb="0" eb="2">
      <t>サギョウ</t>
    </rPh>
    <phoneticPr fontId="3"/>
  </si>
  <si>
    <t>起動ポイント確定</t>
    <rPh sb="0" eb="2">
      <t>キドウ</t>
    </rPh>
    <rPh sb="6" eb="8">
      <t>カクテイ</t>
    </rPh>
    <phoneticPr fontId="3"/>
  </si>
  <si>
    <t>No.</t>
    <phoneticPr fontId="3"/>
  </si>
  <si>
    <t>MPSボタンで新画面が開く</t>
  </si>
  <si>
    <t>初回のみ init 実行</t>
  </si>
  <si>
    <t>2回目以降は再初期化されない</t>
  </si>
  <si>
    <t>Backで元画面に戻る</t>
  </si>
  <si>
    <t>既存画面が壊れない</t>
  </si>
  <si>
    <t>成果物</t>
  </si>
  <si>
    <t>/mps/ 配下のファイル配置設計</t>
    <rPh sb="6" eb="8">
      <t>ハイカ</t>
    </rPh>
    <rPh sb="13" eb="15">
      <t>ハイチ</t>
    </rPh>
    <rPh sb="15" eb="17">
      <t>セッケイ</t>
    </rPh>
    <phoneticPr fontId="3"/>
  </si>
  <si>
    <t>callbackMps() による画面遷移実装</t>
    <rPh sb="17" eb="19">
      <t>ガメン</t>
    </rPh>
    <rPh sb="19" eb="21">
      <t>センイ</t>
    </rPh>
    <rPh sb="21" eb="23">
      <t>ジッソウ</t>
    </rPh>
    <phoneticPr fontId="3"/>
  </si>
  <si>
    <t>共通ライブラリ読込確認</t>
    <rPh sb="0" eb="2">
      <t>キョウツウ</t>
    </rPh>
    <rPh sb="7" eb="9">
      <t>ヨミコミ</t>
    </rPh>
    <rPh sb="9" eb="11">
      <t>カクニン</t>
    </rPh>
    <phoneticPr fontId="3"/>
  </si>
  <si>
    <t>MPS からの戻り先を決める</t>
  </si>
  <si>
    <t>仮ボタンを MPS ボタンとして使用する</t>
  </si>
  <si>
    <t>起動イベントを callbackMps() に集約する</t>
  </si>
  <si>
    <t>遷移先を /mps/index.html に確定する</t>
  </si>
  <si>
    <t>/mps/index.html を新設</t>
  </si>
  <si>
    <t>共通JS/CSSの参照方法を決める</t>
  </si>
  <si>
    <t>mps_ 接頭辞などの命名ルールを決める</t>
  </si>
  <si>
    <t>必要に応じて以下を配置</t>
  </si>
  <si>
    <t>/mps/js/mps_init.js</t>
  </si>
  <si>
    <t>/mps/js/mps_event.js</t>
  </si>
  <si>
    <t>/mps/js/mps_view.js</t>
  </si>
  <si>
    <t>/mps/css/mps.css</t>
  </si>
  <si>
    <t>目的</t>
  </si>
  <si>
    <t>作業内容</t>
  </si>
  <si>
    <t>完了条件</t>
  </si>
  <si>
    <t>実機実装</t>
    <rPh sb="0" eb="2">
      <t>ジッキ</t>
    </rPh>
    <rPh sb="2" eb="4">
      <t>ジッソウ</t>
    </rPh>
    <phoneticPr fontId="3"/>
  </si>
  <si>
    <t>済</t>
    <rPh sb="0" eb="1">
      <t>スミ</t>
    </rPh>
    <phoneticPr fontId="3"/>
  </si>
  <si>
    <t>従来どおり</t>
    <rPh sb="0" eb="2">
      <t>ジュウライ</t>
    </rPh>
    <phoneticPr fontId="3"/>
  </si>
  <si>
    <t>/mps/index.html 最小作成</t>
    <rPh sb="16" eb="18">
      <t>サイショウ</t>
    </rPh>
    <rPh sb="18" eb="20">
      <t>サクセイ</t>
    </rPh>
    <phoneticPr fontId="3"/>
  </si>
  <si>
    <t>ー</t>
    <phoneticPr fontId="3"/>
  </si>
  <si>
    <t>共通 CGI I/F 読込確認</t>
    <rPh sb="0" eb="2">
      <t>キョウツウ</t>
    </rPh>
    <rPh sb="11" eb="13">
      <t>ヨミコミ</t>
    </rPh>
    <rPh sb="13" eb="15">
      <t>カクニン</t>
    </rPh>
    <phoneticPr fontId="3"/>
  </si>
  <si>
    <t>MPS最小画面の初期化枠実装</t>
    <rPh sb="3" eb="5">
      <t>サイショウ</t>
    </rPh>
    <rPh sb="5" eb="7">
      <t>ガメン</t>
    </rPh>
    <rPh sb="8" eb="11">
      <t>ショキカ</t>
    </rPh>
    <rPh sb="11" eb="12">
      <t>ワク</t>
    </rPh>
    <rPh sb="12" eb="14">
      <t>ジッソウ</t>
    </rPh>
    <phoneticPr fontId="3"/>
  </si>
  <si>
    <t>遷移・復帰・干渉確認</t>
    <rPh sb="0" eb="2">
      <t>センイ</t>
    </rPh>
    <rPh sb="3" eb="5">
      <t>フッキ</t>
    </rPh>
    <rPh sb="6" eb="8">
      <t>カンショウ</t>
    </rPh>
    <rPh sb="8" eb="10">
      <t>カクニン</t>
    </rPh>
    <phoneticPr fontId="3"/>
  </si>
  <si>
    <t>最小済</t>
    <rPh sb="0" eb="2">
      <t>サイショウ</t>
    </rPh>
    <rPh sb="2" eb="3">
      <t>スミ</t>
    </rPh>
    <phoneticPr fontId="3"/>
  </si>
  <si>
    <t>MPS画面CSS初期化</t>
    <rPh sb="3" eb="5">
      <t>ガメン</t>
    </rPh>
    <phoneticPr fontId="3"/>
  </si>
  <si>
    <t>MPS専用スタイルのスコープ定義・基本レイアウト定義</t>
    <phoneticPr fontId="3"/>
  </si>
  <si>
    <t>A-002-1：MPS画面CSS方針の確定</t>
  </si>
  <si>
    <t>MPS画面のCSS設計ルールを先に固定し、既存画面との衝突を防ぐ</t>
  </si>
  <si>
    <t>既存共通CSSを前提にしつつ、MPS側で上書きする方針を明確化</t>
  </si>
  <si>
    <t>「移植元CSSは参照のみ、丸ごと流用しない」方針を明確化</t>
  </si>
  <si>
    <t>CSS設計ルール</t>
  </si>
  <si>
    <t>命名ルール</t>
  </si>
  <si>
    <t>MPS用CSSの書き方ルールがチーム内で一意に決まっている</t>
  </si>
  <si>
    <t>A-002-2：MPS画面の基本レイアウト骨格定義</t>
  </si>
  <si>
    <t>MPS画面で使用する最上位レイアウト構造を定義する</t>
  </si>
  <si>
    <t>Container / Content / Object の解析結果を参照し、役割単位で再構成する</t>
  </si>
  <si>
    <t>HTML配置先と責務を整理する</t>
  </si>
  <si>
    <t>レイアウト骨格案</t>
  </si>
  <si>
    <t>DOM階層案</t>
  </si>
  <si>
    <t>MPS画面の最上位DOM構造が決まっている</t>
  </si>
  <si>
    <t>header / view / panel の責務が分かれている</t>
  </si>
  <si>
    <t>A-002-3：MPSルート領域のスタイル定義</t>
  </si>
  <si>
    <t>MPS画面の土台となる表示領域をCSSで成立させる</t>
  </si>
  <si>
    <t>既存画面との差異が視認できる最小テーマを決める</t>
  </si>
  <si>
    <t>ルート領域が画面全体を安定して覆うことを確認する</t>
  </si>
  <si>
    <t>MPS画面の背景と文字色が意図どおりに反映される</t>
  </si>
  <si>
    <t>A-002-4：ヘッダ領域のレイアウト定義</t>
  </si>
  <si>
    <t>タイトルと戻るボタンを配置するヘッダ領域を成立させる</t>
  </si>
  <si>
    <t>既存アプリ風のボタン表示に合わせた基本見た目を適用する</t>
  </si>
  <si>
    <t>必要に応じて hover / active / off の見た目を定義する</t>
  </si>
  <si>
    <t>#mps_header</t>
  </si>
  <si>
    <t>.mps_title</t>
  </si>
  <si>
    <t>.mps_back_btn</t>
  </si>
  <si>
    <t>タイトルとBackボタンが崩れず表示される</t>
  </si>
  <si>
    <t>既存UIと違和感の少ない見た目になっている</t>
  </si>
  <si>
    <t>A-002-5：本文領域のレイアウト定義</t>
  </si>
  <si>
    <t>MPS画面のメイン領域を、後の機能追加に耐えられる構造で確立する</t>
  </si>
  <si>
    <t>#mps_main</t>
  </si>
  <si>
    <t>#mps_view</t>
  </si>
  <si>
    <t>#mps_panel</t>
  </si>
  <si>
    <t>view と panel が分離表示される</t>
  </si>
  <si>
    <t>レイアウト崩れなし</t>
  </si>
  <si>
    <t>後続UI追加が可能な構造になっている</t>
  </si>
  <si>
    <t>A-002-6：ステータス表示領域のスタイル定義</t>
  </si>
  <si>
    <t>MPS画面内の状態表示を、確認しやすい専用表現として成立させる</t>
  </si>
  <si>
    <t>タイトルやボタンと役割が混ざらない見た目にする</t>
  </si>
  <si>
    <t>デバッグ表示にも使えるように読みやすさを優先する</t>
  </si>
  <si>
    <t>ステータス表示が他要素と区別できる</t>
  </si>
  <si>
    <t>状態表示として読みやすい見た目になっている</t>
  </si>
  <si>
    <t>A-002-7：既存共通CSSとの衝突確認</t>
  </si>
  <si>
    <t>MPS専用CSSが既存画面や共通部品へ悪影響を与えないことを確認する</t>
  </si>
  <si>
    <t>共通クラスを不用意に上書きしていないか確認</t>
  </si>
  <si>
    <t>DevToolsで適用CSSの優先順位を確認する</t>
  </si>
  <si>
    <t>衝突確認結果</t>
  </si>
  <si>
    <t>必要に応じた修正リスト</t>
  </si>
  <si>
    <t>既存画面側に表示崩れが出ない</t>
  </si>
  <si>
    <t>MPS側の意図したスタイルが適用される</t>
  </si>
  <si>
    <t>A-002-8：A-002成果の固定化</t>
  </si>
  <si>
    <t>ここまで決めたレイアウトとCSSルールを、後続作業の基準として固定する</t>
  </si>
  <si>
    <t>不要なデバッグ用CSSを除去またはコメント化</t>
  </si>
  <si>
    <t>現時点のDOM構造とCSS対応関係を記録</t>
  </si>
  <si>
    <t>A-003以降で追加する部品領域を明確化する</t>
  </si>
  <si>
    <t>レイアウト構造メモ</t>
  </si>
  <si>
    <t>A-002終了時点のCSSが安定版として扱える</t>
  </si>
  <si>
    <t>後続でレイアウトを壊さず拡張できる</t>
  </si>
  <si>
    <t>A-002 全体の完了定義</t>
  </si>
  <si>
    <t>以下を満たしたら A-002 完了です。</t>
  </si>
  <si>
    <t>MPS画面のCSS設計ルールが決まっている</t>
  </si>
  <si>
    <t>header / main / view / panel の骨格が定義されている</t>
  </si>
  <si>
    <t>title / back / status の基本スタイルが定義されている</t>
  </si>
  <si>
    <t>既存共通CSSとの衝突が管理できている</t>
  </si>
  <si>
    <t>実作業のおすすめ順</t>
  </si>
  <si>
    <t>進める順はこの順が安全です。</t>
  </si>
  <si>
    <t>1. A-002-1 CSS方針の確定</t>
  </si>
  <si>
    <t>2. A-002-2 レイアウト骨格定義</t>
  </si>
  <si>
    <t>3. A-002-3 ルート領域定義</t>
  </si>
  <si>
    <t>4. A-002-4 ヘッダ領域定義</t>
  </si>
  <si>
    <t>5. A-002-5 本文領域定義</t>
  </si>
  <si>
    <t>6. A-002-6 ステータス表示定義</t>
  </si>
  <si>
    <t>7. A-002-7 衝突確認</t>
  </si>
  <si>
    <t>8. A-002-8 固定化</t>
  </si>
  <si>
    <t>必要なら次に、これをそのまま実装管理に入れやすいように</t>
  </si>
  <si>
    <t>MPS専用CSSは #mps_root 配下に限定する方針を確定</t>
  </si>
  <si>
    <t>mps_ 接頭辞の命名ルールを確定</t>
  </si>
  <si>
    <t>#mps_root .mps_xxx 形式で統一する方針が確定している</t>
  </si>
  <si>
    <t>#mps_root を起点に画面全体構造を決める</t>
  </si>
  <si>
    <t>mps_header / mps_main / mps_view / mps_panel 等の基本骨格を定義</t>
  </si>
  <si>
    <t>#mps_root のサイズ、背景色、文字色、box-sizing を定義</t>
  </si>
  <si>
    <t>html, body 側の高さ依存があれば補正する</t>
  </si>
  <si>
    <t>#mps_root 用CSS</t>
  </si>
  <si>
    <t>#mps_root の表示範囲が期待どおりになっている</t>
  </si>
  <si>
    <t>#mps_header の高さ、padding、整列方法を定義</t>
  </si>
  <si>
    <t>mps_title と mps_back_btn の配置ルールを定義</t>
  </si>
  <si>
    <t>#mps_main の flex 構造を定義</t>
  </si>
  <si>
    <t>#mps_view と #mps_panel の分割方針を決める</t>
  </si>
  <si>
    <t>mps_view を映像／メイン表示領域として確保する</t>
  </si>
  <si>
    <t>mps_panel を操作UI／情報表示領域として確保する</t>
  </si>
  <si>
    <t>.mps_status の文字色、背景色、枠線、余白を定義</t>
  </si>
  <si>
    <t>将来の ok / warn / error 拡張を考慮した設計にする</t>
  </si>
  <si>
    <t>.mps_status 用CSS</t>
  </si>
  <si>
    <t>#mps_root スコープが効いていることを確認</t>
  </si>
  <si>
    <t>TextCtrl() / ButtonCtrl() の既存見た目との競合を確認</t>
  </si>
  <si>
    <t>A-002時点の mps.css を整理</t>
  </si>
  <si>
    <t>整理済み mps.css</t>
  </si>
  <si>
    <t>#mps_root を起点にしたスコープ付きCSSが成立している</t>
  </si>
  <si>
    <t>各チケットの「状態」「備考」付きの表形式に整えます。</t>
  </si>
  <si>
    <t>チケットID</t>
  </si>
  <si>
    <t>A-002-1</t>
  </si>
  <si>
    <t>A-002-2</t>
  </si>
  <si>
    <t>A-002-3</t>
  </si>
  <si>
    <t>ルート領域CSS定義</t>
  </si>
  <si>
    <t>A-002-4</t>
  </si>
  <si>
    <t>ヘッダ領域CSS定義</t>
  </si>
  <si>
    <t>A-002-5</t>
  </si>
  <si>
    <t>A-002-6</t>
  </si>
  <si>
    <t>ステータス表示CSS定義</t>
  </si>
  <si>
    <t>デバッグ用途も兼ねる</t>
  </si>
  <si>
    <t>A-002-7</t>
  </si>
  <si>
    <t>A-002-8</t>
  </si>
  <si>
    <t>成果物固定化</t>
  </si>
  <si>
    <t>次フェーズの基準になる</t>
  </si>
  <si>
    <t>完了</t>
    <rPh sb="0" eb="2">
      <t>カンリョウ</t>
    </rPh>
    <phoneticPr fontId="3"/>
  </si>
  <si>
    <t>#mps_root 土台CSS反映確認済み</t>
  </si>
  <si>
    <t>#mps_header レイアウト確認済み</t>
  </si>
  <si>
    <t>MPS画面CSS/Container方針の確定</t>
  </si>
  <si>
    <t>#mps_root スコープ、mps_ 命名、既存CSS前提、移植元CSSは参照のみ、Containerは最終移植先で置換可能な境界として設計する方針を確定</t>
  </si>
  <si>
    <t>#mps_root スコープ、mps_ 接頭辞、移植元CSSは参照のみ、Containerは置換境界として扱う方針で固定</t>
  </si>
  <si>
    <t>レイアウト骨格・Container境界定義</t>
  </si>
  <si>
    <t>mps_root / mps_header / mps_main / mps_view(view_top/view_bottom) / mps_panel(panel_header/panel_body) のDOM構造、責務、および置換単位となるContainer境界を定義</t>
  </si>
  <si>
    <t>#mps_root のサイズ・背景・文字色・box-sizing を定義し、画面全体の基準Containerを成立させる</t>
  </si>
  <si>
    <t>mps_header、title、backボタンの配置・見た目を定義し、ナビゲーションContainerを成立させる</t>
  </si>
  <si>
    <t>本文領域レイアウト詳細定義</t>
  </si>
  <si>
    <t>mps_main、mps_view(view_top/view_bottom)、mps_panel(panel_header/panel_body) のレイアウト構造と分割境界を定義</t>
  </si>
  <si>
    <t>mps_view / mps_panel 横並び確認済み。view_top / view_bottom、panel_header / panel_body を分離し、移植先Containerへのマッピング単位を明確化</t>
  </si>
  <si>
    <t>CSS/Container衝突確認</t>
  </si>
  <si>
    <t>mps.css 整理、不要CSS除去、Container構造メモ作成、移植先置換を前提とした骨格定義を固定化</t>
  </si>
  <si>
    <t>2ペイン骨格に加え、view上下分割・panel内部構造を追加。各領域を最終移植先で置換可能なContainer境界として扱う
mps_root は「移植用アプリのルート」であり、最終的に camera_live_area にマウントされる</t>
    <phoneticPr fontId="3"/>
  </si>
  <si>
    <t>完了</t>
    <phoneticPr fontId="3"/>
  </si>
  <si>
    <t>mps_status の見た目（色・背景・余白）を定義し、panel内の情報Object表現を成立させる</t>
    <phoneticPr fontId="3"/>
  </si>
  <si>
    <t>共通CSSとの競合確認、優先度確認、DevTools検証に加え、Container境界が既存移植先構造と衝突しないか確認</t>
    <phoneticPr fontId="3"/>
  </si>
  <si>
    <t>実機で必ず実施</t>
    <rPh sb="0" eb="2">
      <t>ジッキ</t>
    </rPh>
    <rPh sb="3" eb="4">
      <t>カナラ</t>
    </rPh>
    <rPh sb="5" eb="7">
      <t>ジッシ</t>
    </rPh>
    <phoneticPr fontId="3"/>
  </si>
  <si>
    <t>一部保留</t>
    <rPh sb="0" eb="2">
      <t>イチブ</t>
    </rPh>
    <rPh sb="2" eb="4">
      <t>ホリュウ</t>
    </rPh>
    <phoneticPr fontId="3"/>
  </si>
  <si>
    <t>MPS用CSSが既存画面へ影響していないか確認</t>
    <phoneticPr fontId="3"/>
  </si>
  <si>
    <t>A-003-1</t>
  </si>
  <si>
    <t>Containerは役割単位で抽象化し、丸ごとコピーしない</t>
  </si>
  <si>
    <t>A-003-2</t>
  </si>
  <si>
    <t>mps_root = camera_live_area ではなく、ホスト内アプリルートとして扱う</t>
  </si>
  <si>
    <t>A-003-3</t>
  </si>
  <si>
    <t>ルート/メイン骨格DOM再現</t>
  </si>
  <si>
    <t>A-002の骨格をA-003の正式DOMとして引き継ぐ</t>
  </si>
  <si>
    <t>A-003-4</t>
  </si>
  <si>
    <t>view/panel コンテナDOM再現</t>
  </si>
  <si>
    <t>mps_main 配下に mps_view / mps_panel を配置し、主要2ペイン構造をDOMとして成立させる</t>
  </si>
  <si>
    <t>最終移植先で置換可能なContainer境界として扱う</t>
  </si>
  <si>
    <t>A-003-5</t>
  </si>
  <si>
    <t>view内コンテナDOM再現</t>
  </si>
  <si>
    <t>mps_view 配下に mps_view_top / mps_view_bottom を配置し、ライブ映像領域と下部UI領域を分離する</t>
  </si>
  <si>
    <t>移植元左側画面の上下構造を抽象化して再現する</t>
  </si>
  <si>
    <t>A-003-6</t>
  </si>
  <si>
    <t>panel内コンテナDOM再現</t>
  </si>
  <si>
    <t>mps_panel 配下に mps_panel_header / mps_panel_body を配置し、タブ領域と本文領域を分離する</t>
  </si>
  <si>
    <t>移植元右側画面のタブ付き操作UI構造を抽象化して再現する</t>
  </si>
  <si>
    <t>A-003-7</t>
  </si>
  <si>
    <t>DOM生成方式の統一</t>
  </si>
  <si>
    <t>index.html 固定DOMと JS動的生成の責務分担を整理し、Container生成方式を統一する</t>
  </si>
  <si>
    <t>骨格は静的、部品は動的、など方針を明文化する</t>
  </si>
  <si>
    <t>A-003-8</t>
  </si>
  <si>
    <t>コンテナ命名・ID規約の固定</t>
  </si>
  <si>
    <t>mps_接頭辞、Container名、親子関係ルールを固定し、後続チケットで再利用できる規約にする</t>
  </si>
  <si>
    <t>mps_view_top などのIDを正式採用する</t>
  </si>
  <si>
    <t>A-003-9</t>
  </si>
  <si>
    <t>Container境界のDOM検証</t>
  </si>
  <si>
    <t>DevToolsで親子関係、兄弟関係、想定外の入れ子がないことを確認する</t>
  </si>
  <si>
    <t>view系とpanel系が跨がっていないことを確認する</t>
  </si>
  <si>
    <t>A-003-10</t>
  </si>
  <si>
    <t>A-003時点の主要コンテナDOM構造をメモ化し、後続A-004/A-005の前提として固定化する</t>
  </si>
  <si>
    <t>置換単位・マウント前提・未解決事項を残す</t>
  </si>
  <si>
    <r>
      <rPr>
        <sz val="11"/>
        <color theme="1"/>
        <rFont val="ＭＳ ゴシック"/>
        <family val="3"/>
        <charset val="128"/>
      </rPr>
      <t>解析済み</t>
    </r>
    <r>
      <rPr>
        <sz val="11"/>
        <color theme="1"/>
        <rFont val="ＭＳ Ｐゴシック"/>
        <family val="3"/>
        <charset val="128"/>
        <scheme val="minor"/>
      </rPr>
      <t>Container</t>
    </r>
    <r>
      <rPr>
        <sz val="11"/>
        <color theme="1"/>
        <rFont val="游ゴシック"/>
        <family val="3"/>
        <charset val="128"/>
      </rPr>
      <t>構造を</t>
    </r>
    <r>
      <rPr>
        <sz val="11"/>
        <color theme="1"/>
        <rFont val="ＭＳ Ｐゴシック"/>
        <family val="3"/>
        <charset val="128"/>
        <scheme val="minor"/>
      </rPr>
      <t xml:space="preserve"> MPS</t>
    </r>
    <r>
      <rPr>
        <sz val="11"/>
        <color theme="1"/>
        <rFont val="游ゴシック"/>
        <family val="3"/>
        <charset val="128"/>
      </rPr>
      <t>骨格へ再構成し反映する</t>
    </r>
    <phoneticPr fontId="3"/>
  </si>
  <si>
    <t>主要コンテナ一覧を確定する
MPS骨格への配置確定、構造一覧作成</t>
    <rPh sb="26" eb="28">
      <t>コウゾウ</t>
    </rPh>
    <rPh sb="28" eb="30">
      <t>イチラン</t>
    </rPh>
    <rPh sb="30" eb="32">
      <t>サクセイ</t>
    </rPh>
    <phoneticPr fontId="3"/>
  </si>
  <si>
    <t>A-003-2-1</t>
  </si>
  <si>
    <t>右側作業対象確定</t>
  </si>
  <si>
    <t>A-003-2-2</t>
  </si>
  <si>
    <t>panel_header詳細化</t>
  </si>
  <si>
    <t>上部ヘッダ領域の高さ・横並び・余白を確定</t>
  </si>
  <si>
    <t>タブ受け皿</t>
  </si>
  <si>
    <t>A-003-2-3</t>
  </si>
  <si>
    <t>panel_body縦積みルール確定</t>
  </si>
  <si>
    <t>右側各ブロックの縦並び・gap・scroll方針を確定</t>
  </si>
  <si>
    <t>右側全体の土台</t>
  </si>
  <si>
    <t>manual_control詳細化</t>
  </si>
  <si>
    <t>最重要ブロック</t>
  </si>
  <si>
    <t>詳細領域あり</t>
  </si>
  <si>
    <t>A-003-2-6</t>
  </si>
  <si>
    <t>track_adjust_tabs詳細化</t>
  </si>
  <si>
    <t>Auto Framing / Image Adjust タブ領域を確定</t>
  </si>
  <si>
    <t>2分割タブ</t>
  </si>
  <si>
    <t>auto_framing の外枠と内部余地を確定</t>
  </si>
  <si>
    <t>中心機能</t>
  </si>
  <si>
    <t>A-003-2-8</t>
  </si>
  <si>
    <t>image_adjust詳細化</t>
  </si>
  <si>
    <t>image_adjust の外枠と内部余地を確定</t>
  </si>
  <si>
    <t>縦スライダー・wheel前提</t>
  </si>
  <si>
    <t>A-003-2-9</t>
  </si>
  <si>
    <t>右側全体バランス調整</t>
  </si>
  <si>
    <t>各ブロックの高さバランスとスクロール方針を整理</t>
  </si>
  <si>
    <t>最終レイアウト調整</t>
  </si>
  <si>
    <t>A-003-2-10</t>
  </si>
  <si>
    <t>成果固定</t>
  </si>
  <si>
    <t>CSS整理、作業表更新、保留事項整理</t>
  </si>
  <si>
    <t>次フェーズの基準</t>
  </si>
  <si>
    <t>mps_panel 配下でA-003-2対象とするContainerを確定</t>
  </si>
  <si>
    <t>mps_view は対象外</t>
  </si>
  <si>
    <t>mps_panel 配下の Container 内レイアウト詳細化と配置成立</t>
    <phoneticPr fontId="3"/>
  </si>
  <si>
    <t>Container 内レイアウト詳細化と配置成立</t>
    <phoneticPr fontId="3"/>
  </si>
  <si>
    <t>js/pc/camera_controller_setting.js : function Slider()</t>
  </si>
  <si>
    <t>js/pc/common_function.js : function SliderCtrl()</t>
  </si>
  <si>
    <t>既存スライダーモジュールの利用</t>
    <rPh sb="0" eb="2">
      <t>キゾン</t>
    </rPh>
    <rPh sb="13" eb="15">
      <t>リヨウ</t>
    </rPh>
    <phoneticPr fontId="3"/>
  </si>
  <si>
    <t>A-003-2-5</t>
    <phoneticPr fontId="3"/>
  </si>
  <si>
    <t>limitation の外枠と表示切替余地を確定</t>
    <phoneticPr fontId="3"/>
  </si>
  <si>
    <t>A-003-2-4</t>
    <phoneticPr fontId="3"/>
  </si>
  <si>
    <t>manual_control の外枠サイズと内部配置余地を確定</t>
    <phoneticPr fontId="3"/>
  </si>
  <si>
    <t>Lock は relative 構成を維持して配置した。line_5.top との厳密一致は、manual_control の line 接点ズレが既知課題であるため、この時点では追い込まず、line 系の最終実測調整時に合わせて再調整する。</t>
    <phoneticPr fontId="3"/>
  </si>
  <si>
    <t>limitation詳細化</t>
    <phoneticPr fontId="3"/>
  </si>
  <si>
    <t>・limitation_control_right_content は、移植元で Limitation ボタン押下時に表示される absolute のポップアップ領域である
・A-003-2-5 では、DOM上の存在確認・hidden 初期状態・約208x208の表示サイズ確認・表示余地確保までを完了とする
・開閉挙動およびポップアップ内部の実装は、後工程の挙動実装フェーズへ保留とする</t>
    <phoneticPr fontId="3"/>
  </si>
  <si>
    <t>保留事項</t>
    <rPh sb="0" eb="2">
      <t>ホリュウ</t>
    </rPh>
    <rPh sb="2" eb="4">
      <t>ジコウ</t>
    </rPh>
    <phoneticPr fontId="3"/>
  </si>
  <si>
    <t>A-003-2-7</t>
    <phoneticPr fontId="3"/>
  </si>
  <si>
    <t>auto_framing詳細化</t>
    <phoneticPr fontId="3"/>
  </si>
  <si>
    <t>・track_adjust_tabs_container の外枠確定
・track_adjust_content_container との接続関係確定
・Limitation との上下間隔確定
・tabs高さ 44px / 通常フロー / content直結 を確認</t>
    <phoneticPr fontId="3"/>
  </si>
  <si>
    <t xml:space="preserve">
- track_adjust_tabs_container は高さ 44px の通常フロー要素として固定
- track_adjust_content_container は高さ責務を持たず、表示中の子コンテナが高さを持つ
- Auto Framing は子側で高さを持つ構造として固定
- Image Adjust は width 512px / height 309px / column 56px / gap 46px の外枠として固定
- 初期表示制御は CSS の個別 display 指定ではなく、HTML 側の mps_is_hidden 付与で管理
- mps_is_hidden は display:none !important の hidden utility として固定し、他用途に流用しない
- Limitation popup など hidden utility 使用箇所へ副作用を出さないことを優先
- Debug 背景色は現段階では保持可。ただし本番寄せフェーズで撤去対象
- Auto Framing / Image Adjust の内部実装詳細は後工程</t>
    <phoneticPr fontId="3"/>
  </si>
  <si>
    <t>A-003-2 完了
- mps_panel 配下の Container 内レイアウト詳細化と配置成立を完了
- 対象は single_camera_right 相当範囲
- manual_control / limitation / track_adjust / bottom_content の外枠配置を確定
- Auto Framing は主要配置まで確定
- Image Adjust は外枠と内部余地まで確定
- mps_status はデバッグ要素として mps_header へ分離
- 内部UI詳細と微差調整は A-003-3 以降で対応</t>
    <phoneticPr fontId="3"/>
  </si>
  <si>
    <t>外枠成立済みの各コンテナについて、内部レイアウト・表示状態・共通部品の整合を詰める</t>
    <phoneticPr fontId="3"/>
  </si>
  <si>
    <t>対象</t>
  </si>
  <si>
    <t>入力</t>
  </si>
  <si>
    <t>優先度</t>
  </si>
  <si>
    <t>A-003-3-1</t>
  </si>
  <si>
    <t>track_adjust</t>
  </si>
  <si>
    <t>内部レイアウト構造の確定</t>
  </si>
  <si>
    <t>HTML/CSS/スクショ</t>
  </si>
  <si>
    <t>配置済みUI</t>
  </si>
  <si>
    <t>主要要素の相対位置がスクショ一致</t>
  </si>
  <si>
    <t>A-003-3-1-1</t>
  </si>
  <si>
    <t>DOM構造の妥当性確認</t>
  </si>
  <si>
    <t>HTML</t>
  </si>
  <si>
    <t>DOM整理メモ</t>
  </si>
  <si>
    <t>責務単位で説明可能</t>
  </si>
  <si>
    <t>A-003-3-1-2</t>
  </si>
  <si>
    <t>基準コンテナ(position基準)の確定</t>
  </si>
  <si>
    <t>CSS</t>
  </si>
  <si>
    <t>基準定義</t>
  </si>
  <si>
    <t>absolute基準が明確</t>
  </si>
  <si>
    <t>A-003-3-1-3</t>
  </si>
  <si>
    <t>slider/line/labelの相対配置調整</t>
  </si>
  <si>
    <t>HTML/CSS</t>
  </si>
  <si>
    <t>配置調整済UI</t>
  </si>
  <si>
    <t>位置ズレなし</t>
  </si>
  <si>
    <t>A-003-3-1-4</t>
  </si>
  <si>
    <t>color/border/fontの反映</t>
  </si>
  <si>
    <t>スタイル反映</t>
  </si>
  <si>
    <t>UI差分なし</t>
  </si>
  <si>
    <t>A-003-3-1-5</t>
  </si>
  <si>
    <t>hidden要素含む内部余地確認</t>
  </si>
  <si>
    <t>CSS/DOM</t>
  </si>
  <si>
    <t>表示崩れなし状態切替</t>
  </si>
  <si>
    <t>表示切替で崩れない</t>
  </si>
  <si>
    <t>A-003-3-1-6</t>
  </si>
  <si>
    <t>共通化候補の抽出</t>
  </si>
  <si>
    <t>共通化メモ</t>
  </si>
  <si>
    <t>再利用可能単位が定義済</t>
  </si>
  <si>
    <t>A-003-3-1-7</t>
  </si>
  <si>
    <t>完了判定チェック</t>
  </si>
  <si>
    <t>全資料</t>
  </si>
  <si>
    <t>完了記録</t>
  </si>
  <si>
    <t>テンプレ条件満たす</t>
  </si>
  <si>
    <t>A-003-3-2</t>
  </si>
  <si>
    <t>manual_control</t>
  </si>
  <si>
    <t>主要要素一致</t>
  </si>
  <si>
    <t>A-003-3-2-1</t>
  </si>
  <si>
    <t>DOM構造整理</t>
  </si>
  <si>
    <t>責務明確</t>
  </si>
  <si>
    <t>A-003-3-2-2</t>
  </si>
  <si>
    <t>ボタン/slider配置調整</t>
  </si>
  <si>
    <t>配置済UI</t>
  </si>
  <si>
    <t>ズレなし</t>
  </si>
  <si>
    <t>A-003-3-2-3</t>
  </si>
  <si>
    <t>ラベル/余白調整</t>
  </si>
  <si>
    <t>UI調整済</t>
  </si>
  <si>
    <t>視覚差分なし</t>
  </si>
  <si>
    <t>A-003-3-2-4</t>
  </si>
  <si>
    <t>state差分確認</t>
  </si>
  <si>
    <t>状態切替確認</t>
  </si>
  <si>
    <t>状態変化で崩れない</t>
  </si>
  <si>
    <t>A-003-3-2-5</t>
  </si>
  <si>
    <t>共通部品抽出</t>
  </si>
  <si>
    <t>共通化候補</t>
  </si>
  <si>
    <t>再利用設計可能</t>
  </si>
  <si>
    <t>A-003-3-2-6</t>
  </si>
  <si>
    <t>完了判定</t>
  </si>
  <si>
    <t>条件満たす</t>
  </si>
  <si>
    <t>A-003-3-3</t>
  </si>
  <si>
    <t>limitation</t>
  </si>
  <si>
    <t>A-003-3-3-1</t>
  </si>
  <si>
    <t>通常表示レイアウト調整</t>
  </si>
  <si>
    <t>A-003-3-3-2</t>
  </si>
  <si>
    <t>hidden/ポップアップ領域整理</t>
  </si>
  <si>
    <t>DOM/CSS</t>
  </si>
  <si>
    <t>表示切替成立</t>
  </si>
  <si>
    <t>開閉で崩れない</t>
  </si>
  <si>
    <t>A-003-3-3-3</t>
  </si>
  <si>
    <t>mask/overlay挙動確認</t>
  </si>
  <si>
    <t>マスク動作OK</t>
  </si>
  <si>
    <t>視覚破綻なし</t>
  </si>
  <si>
    <t>A-003-3-3-4</t>
  </si>
  <si>
    <t>共通化候補抽出</t>
  </si>
  <si>
    <t>他コンテナ適用可能</t>
  </si>
  <si>
    <t>A-003-3-3-5</t>
  </si>
  <si>
    <t>A-003-3-4</t>
  </si>
  <si>
    <t>bottom_content</t>
  </si>
  <si>
    <t>A-003-3-4-1</t>
  </si>
  <si>
    <t>要素配置調整</t>
  </si>
  <si>
    <t>A-003-3-4-2</t>
  </si>
  <si>
    <t>ラベル/ボタン整列</t>
  </si>
  <si>
    <t>UI整列済</t>
  </si>
  <si>
    <t>A-003-3-4-3</t>
  </si>
  <si>
    <t>共通部品確認</t>
  </si>
  <si>
    <t>他へ流用可</t>
  </si>
  <si>
    <t>A-003-3-4-4</t>
  </si>
  <si>
    <t>A-003-3-5</t>
  </si>
  <si>
    <t>auto_framing</t>
  </si>
  <si>
    <t>内部レイアウト精度向上</t>
  </si>
  <si>
    <t>A-003-3-5-1</t>
  </si>
  <si>
    <t>内部構造整理</t>
  </si>
  <si>
    <t>DOM整理</t>
  </si>
  <si>
    <t>A-003-3-5-2</t>
  </si>
  <si>
    <t>UI配置調整</t>
  </si>
  <si>
    <t>A-003-3-5-3</t>
  </si>
  <si>
    <t>状態切替OK</t>
  </si>
  <si>
    <t>崩れなし</t>
  </si>
  <si>
    <t>A-003-3-5-4</t>
  </si>
  <si>
    <t>A-003-3-6</t>
  </si>
  <si>
    <t>image_adjust</t>
  </si>
  <si>
    <t>A-003-3-6-1</t>
  </si>
  <si>
    <t>A-003-3-6-2</t>
  </si>
  <si>
    <t>A-003-3-6-3</t>
  </si>
  <si>
    <t>A-003-3-6-4</t>
  </si>
  <si>
    <t>A-003-3-7</t>
  </si>
  <si>
    <t>共通部品</t>
  </si>
  <si>
    <t>共通UI部品の横断整理</t>
  </si>
  <si>
    <t>全HTML/CSS</t>
  </si>
  <si>
    <t>共通定義</t>
  </si>
  <si>
    <t>再利用構造確立</t>
  </si>
  <si>
    <t>A-003-3-7-1</t>
  </si>
  <si>
    <t>label/button/selectの統一</t>
  </si>
  <si>
    <t>共通クラス</t>
  </si>
  <si>
    <t>UI一貫性あり</t>
  </si>
  <si>
    <t>A-003-3-7-2</t>
  </si>
  <si>
    <t>slider構造の共通化</t>
  </si>
  <si>
    <t>共通構造</t>
  </si>
  <si>
    <t>再利用可能</t>
  </si>
  <si>
    <t>A-003-3-7-3</t>
  </si>
  <si>
    <t>panel内構造整理</t>
  </si>
  <si>
    <t>構造統一</t>
  </si>
  <si>
    <t>保守性向上</t>
  </si>
  <si>
    <t>A-003-3-8</t>
  </si>
  <si>
    <t>全体</t>
  </si>
  <si>
    <t>スクショ差分収束</t>
  </si>
  <si>
    <t>UI一致</t>
  </si>
  <si>
    <t>差分なし</t>
  </si>
  <si>
    <t>A-003-3-8-1</t>
  </si>
  <si>
    <t>位置/サイズ最終調整</t>
  </si>
  <si>
    <t>A-003-3-8-2</t>
  </si>
  <si>
    <t>color/font/border最終一致</t>
  </si>
  <si>
    <t>A-003-3-8-3</t>
  </si>
  <si>
    <t>状態差分最終確認</t>
  </si>
  <si>
    <t>動作確認</t>
  </si>
  <si>
    <t>進行中</t>
    <rPh sb="0" eb="3">
      <t>シンコウチュウ</t>
    </rPh>
    <phoneticPr fontId="3"/>
  </si>
  <si>
    <t>未着手</t>
    <phoneticPr fontId="3"/>
  </si>
  <si>
    <t>タスク名</t>
  </si>
  <si>
    <t>A-003-3-1-01</t>
  </si>
  <si>
    <t>track_adjust 共通枠確認</t>
  </si>
  <si>
    <t>タブ領域＋content領域の親子関係確認</t>
  </si>
  <si>
    <t>タブ/コンテンツのDOM構造が崩れない</t>
  </si>
  <si>
    <t>CSS再設計禁止</t>
  </si>
  <si>
    <t>A-003-3-1-02</t>
  </si>
  <si>
    <t>content切替構造確認</t>
  </si>
  <si>
    <t>auto_framing / image_adjust のdisplay制御整理</t>
  </si>
  <si>
    <t>切替時にレイアウト崩れなし</t>
  </si>
  <si>
    <t>position禁止</t>
  </si>
  <si>
    <t>A-003-3-1-03</t>
  </si>
  <si>
    <t>A-003-3-1-04</t>
  </si>
  <si>
    <t>A-003-3-1-05</t>
  </si>
  <si>
    <t>image_adjust グリッド構造確定</t>
  </si>
  <si>
    <t>Iris/Gain/WB/Shutter/ND の5列構造確定</t>
  </si>
  <si>
    <t>5カラム均等配置</t>
  </si>
  <si>
    <t>grid or flex</t>
  </si>
  <si>
    <t>A-003-3-1-06</t>
  </si>
  <si>
    <t>image_adjust 左カラム特殊構造</t>
  </si>
  <si>
    <t>Iris（縦slider＋ボタン）の独立構造確定</t>
  </si>
  <si>
    <t>Irisのみ縦構成成立</t>
  </si>
  <si>
    <t>他列と分離</t>
  </si>
  <si>
    <t>A-003-3-1-07</t>
  </si>
  <si>
    <t>image_adjust 行揃え</t>
  </si>
  <si>
    <t>上段（ラベル）/中段（値）/下段（ボタン）整列</t>
  </si>
  <si>
    <t>水平ライン一致</t>
  </si>
  <si>
    <t>line-height注意</t>
  </si>
  <si>
    <t>A-003-3-1-08</t>
  </si>
  <si>
    <t>image_adjust サイズ統一</t>
  </si>
  <si>
    <t>円UIサイズ/間隔/余白統一</t>
  </si>
  <si>
    <t>全circle同サイズ</t>
  </si>
  <si>
    <t>box-sizing確認</t>
  </si>
  <si>
    <t>auto/image 共通CSS抽出</t>
  </si>
  <si>
    <t>CSS重複なし</t>
  </si>
  <si>
    <t>分割CSS維持</t>
  </si>
  <si>
    <t>2状態のスクショ比較</t>
  </si>
  <si>
    <t>ズレ1px単位まで確認</t>
  </si>
  <si>
    <t>A-003-3-1-10 
最終視覚一致確認</t>
    <phoneticPr fontId="3"/>
  </si>
  <si>
    <t>auto_framing content切替構造確定</t>
  </si>
  <si>
    <t>auto_tracking_assist_operation_tab 配下で angle_tab_content_part / face_tab_content / setting_tab_content の3状態を切替できる構造を確定</t>
  </si>
  <si>
    <t>タブ切替時に3contentの表示領域構造が崩れない</t>
  </si>
  <si>
    <t>display制御前提、positionで逃げない</t>
  </si>
  <si>
    <t>auto_framing 各content内部レイアウト調整</t>
  </si>
  <si>
    <t>angle / face / setting 各content内の主要要素配置・余白・縦整列を調整</t>
  </si>
  <si>
    <t>各contentで主要要素が目視一致</t>
  </si>
  <si>
    <t>margin/padding調整中心、共通部品化は後続</t>
  </si>
  <si>
    <t>A-003-3-1-09</t>
    <phoneticPr fontId="3"/>
  </si>
  <si>
    <t>共通部品（label, circle, slider）を共通化</t>
    <phoneticPr fontId="3"/>
  </si>
  <si>
    <t>new</t>
    <phoneticPr fontId="13"/>
  </si>
  <si>
    <t>ORG</t>
    <phoneticPr fontId="13"/>
  </si>
  <si>
    <t>mps_track_adjust_tab_label</t>
    <phoneticPr fontId="13"/>
  </si>
  <si>
    <t xml:space="preserve">mps_auto_tracking_assist_tab </t>
    <phoneticPr fontId="13"/>
  </si>
  <si>
    <t>font-size</t>
    <phoneticPr fontId="13"/>
  </si>
  <si>
    <t>14px</t>
    <phoneticPr fontId="13"/>
  </si>
  <si>
    <t>15px</t>
    <phoneticPr fontId="13"/>
  </si>
  <si>
    <t>Tracking Control</t>
    <phoneticPr fontId="13"/>
  </si>
  <si>
    <t>font-weight</t>
    <phoneticPr fontId="13"/>
  </si>
  <si>
    <t>Face Recognition</t>
    <phoneticPr fontId="13"/>
  </si>
  <si>
    <t>border-bottom-color</t>
    <phoneticPr fontId="13"/>
  </si>
  <si>
    <t>rgb(24, 168, 238)</t>
    <phoneticPr fontId="13"/>
  </si>
  <si>
    <t>rgb(0, 183, 241)</t>
    <phoneticPr fontId="13"/>
  </si>
  <si>
    <t>Settings</t>
    <phoneticPr fontId="13"/>
  </si>
  <si>
    <t>border-bottom-width</t>
    <phoneticPr fontId="13"/>
  </si>
  <si>
    <t>2px</t>
    <phoneticPr fontId="13"/>
  </si>
  <si>
    <t>4px</t>
    <phoneticPr fontId="13"/>
  </si>
  <si>
    <t>全体の左右位置</t>
    <phoneticPr fontId="13"/>
  </si>
  <si>
    <t>全体の上下位置</t>
    <phoneticPr fontId="13"/>
  </si>
  <si>
    <t>主要要素のサイズ</t>
    <phoneticPr fontId="13"/>
  </si>
  <si>
    <t>要素間の余白</t>
    <rPh sb="0" eb="2">
      <t>ヨウソ</t>
    </rPh>
    <phoneticPr fontId="13"/>
  </si>
  <si>
    <t>ラベル位置</t>
  </si>
  <si>
    <t>ボタン位置</t>
  </si>
  <si>
    <t>_title*</t>
    <phoneticPr fontId="13"/>
  </si>
  <si>
    <t>12px</t>
    <phoneticPr fontId="13"/>
  </si>
  <si>
    <t>視線上の違和感</t>
  </si>
  <si>
    <t>mps_tracking_preview_box</t>
    <phoneticPr fontId="13"/>
  </si>
  <si>
    <t>258px x 147px</t>
    <phoneticPr fontId="13"/>
  </si>
  <si>
    <t>スライダー 上下gap</t>
    <rPh sb="6" eb="8">
      <t>ジョウゲ</t>
    </rPh>
    <phoneticPr fontId="13"/>
  </si>
  <si>
    <t>Image Adjust</t>
    <phoneticPr fontId="13"/>
  </si>
  <si>
    <t xml:space="preserve">左に詰まっている </t>
    <rPh sb="0" eb="1">
      <t>ヒダリ</t>
    </rPh>
    <rPh sb="2" eb="3">
      <t>ツ</t>
    </rPh>
    <phoneticPr fontId="13"/>
  </si>
  <si>
    <t>title下側gapが狭い</t>
    <rPh sb="5" eb="7">
      <t>シタガワ</t>
    </rPh>
    <rPh sb="11" eb="12">
      <t>セマ</t>
    </rPh>
    <phoneticPr fontId="13"/>
  </si>
  <si>
    <t>mps_image_adjust_wheel_picker_bg の中身表示</t>
    <rPh sb="34" eb="36">
      <t>ナカミ</t>
    </rPh>
    <rPh sb="36" eb="38">
      <t>ヒョウジ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</si>
</sst>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0"/>
      <color theme="1"/>
      <name val="Meiryo UI"/>
      <family val="3"/>
      <charset val="128"/>
    </font>
    <font>
      <sz val="11"/>
      <color theme="1"/>
      <name val="ＭＳ Ｐゴシック"/>
      <family val="2"/>
      <scheme val="minor"/>
    </font>
    <font>
      <b/>
      <sz val="11"/>
      <color rgb="FFFFFFFF"/>
      <name val="Calibri"/>
      <family val="2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11"/>
      <color theme="1"/>
      <name val="游ゴシック"/>
      <family val="3"/>
      <charset val="128"/>
    </font>
    <font>
      <sz val="11"/>
      <color theme="1"/>
      <name val="メイリオ"/>
      <family val="3"/>
      <charset val="128"/>
    </font>
    <font>
      <sz val="9"/>
      <color theme="1"/>
      <name val="ＭＳ Ｐゴシック"/>
      <family val="2"/>
      <scheme val="minor"/>
    </font>
    <font>
      <sz val="9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1F1F"/>
      </bottom>
      <diagonal/>
    </border>
    <border>
      <left/>
      <right/>
      <top/>
      <bottom style="thin">
        <color rgb="FFD9D9D9"/>
      </bottom>
      <diagonal/>
    </border>
  </borders>
  <cellStyleXfs count="3">
    <xf numFmtId="0" fontId="0" fillId="0" borderId="0"/>
    <xf numFmtId="0" fontId="5" fillId="0" borderId="0"/>
    <xf numFmtId="0" fontId="1" fillId="0" borderId="0">
      <alignment vertical="center"/>
    </xf>
  </cellStyleXfs>
  <cellXfs count="22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6" fillId="3" borderId="1" xfId="1" applyFont="1" applyFill="1" applyBorder="1" applyAlignment="1">
      <alignment horizontal="center" vertical="center"/>
    </xf>
    <xf numFmtId="0" fontId="0" fillId="0" borderId="2" xfId="1" applyFont="1" applyBorder="1" applyAlignment="1">
      <alignment vertical="top" wrapText="1"/>
    </xf>
    <xf numFmtId="0" fontId="0" fillId="0" borderId="2" xfId="1" applyFont="1" applyBorder="1" applyAlignment="1">
      <alignment horizontal="center" vertical="top"/>
    </xf>
    <xf numFmtId="0" fontId="7" fillId="0" borderId="2" xfId="1" applyFont="1" applyBorder="1" applyAlignment="1">
      <alignment vertical="top" wrapText="1"/>
    </xf>
    <xf numFmtId="0" fontId="0" fillId="2" borderId="2" xfId="1" applyFont="1" applyFill="1" applyBorder="1" applyAlignment="1">
      <alignment horizontal="center" vertical="center" wrapText="1"/>
    </xf>
    <xf numFmtId="0" fontId="10" fillId="0" borderId="0" xfId="0" applyFont="1"/>
    <xf numFmtId="0" fontId="0" fillId="4" borderId="2" xfId="1" applyFont="1" applyFill="1" applyBorder="1" applyAlignment="1">
      <alignment vertical="top" wrapText="1"/>
    </xf>
    <xf numFmtId="0" fontId="0" fillId="4" borderId="2" xfId="1" applyFont="1" applyFill="1" applyBorder="1" applyAlignment="1">
      <alignment horizontal="center" vertical="top"/>
    </xf>
    <xf numFmtId="0" fontId="0" fillId="4" borderId="2" xfId="1" applyFont="1" applyFill="1" applyBorder="1" applyAlignment="1">
      <alignment horizontal="center" vertical="center" wrapText="1"/>
    </xf>
    <xf numFmtId="0" fontId="0" fillId="4" borderId="0" xfId="0" applyFill="1"/>
    <xf numFmtId="0" fontId="11" fillId="0" borderId="0" xfId="0" applyFont="1" applyAlignment="1">
      <alignment vertical="center" wrapText="1"/>
    </xf>
    <xf numFmtId="0" fontId="11" fillId="5" borderId="0" xfId="0" applyFont="1" applyFill="1" applyAlignment="1">
      <alignment vertical="center" wrapText="1"/>
    </xf>
    <xf numFmtId="0" fontId="11" fillId="5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" fillId="0" borderId="0" xfId="2">
      <alignment vertical="center"/>
    </xf>
    <xf numFmtId="0" fontId="1" fillId="0" borderId="0" xfId="2" applyAlignment="1">
      <alignment horizontal="center" vertical="center"/>
    </xf>
  </cellXfs>
  <cellStyles count="3">
    <cellStyle name="Normal" xfId="1" xr:uid="{98F1AD97-5A6F-4DFA-BA98-223A301996CB}"/>
    <cellStyle name="標準" xfId="0" builtinId="0"/>
    <cellStyle name="標準 2" xfId="2" xr:uid="{1FE41893-115C-4B76-B94F-2F90DC6138FF}"/>
  </cellStyles>
  <dxfs count="2"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173355</xdr:colOff>
      <xdr:row>11</xdr:row>
      <xdr:rowOff>1798321</xdr:rowOff>
    </xdr:from>
    <xdr:to>
      <xdr:col>3</xdr:col>
      <xdr:colOff>3429000</xdr:colOff>
      <xdr:row>40</xdr:row>
      <xdr:rowOff>47626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053DE81-C1B8-75C3-6302-7DE7289485F3}"/>
            </a:ext>
          </a:extLst>
        </xdr:cNvPr>
        <xdr:cNvSpPr txBox="1"/>
      </xdr:nvSpPr>
      <xdr:spPr>
        <a:xfrm>
          <a:off x="173355" y="5846446"/>
          <a:ext cx="6770370" cy="606933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A-003-2-10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成果固定メモ</a:t>
          </a:r>
        </a:p>
        <a:p>
          <a:pPr>
            <a:lnSpc>
              <a:spcPts val="1000"/>
            </a:lnSpc>
          </a:pP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■対象範囲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対象は 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single_camera_right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相当（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mps_panel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配下）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panel_header / manual_control / limitation / track_adjust / bottom_content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を含む</a:t>
          </a:r>
        </a:p>
        <a:p>
          <a:pPr>
            <a:lnSpc>
              <a:spcPts val="1000"/>
            </a:lnSpc>
          </a:pP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■除外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mps_status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はデバッグ要素のため対象外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mps_status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は 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mps_header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に配置済み</a:t>
          </a:r>
        </a:p>
        <a:p>
          <a:pPr>
            <a:lnSpc>
              <a:spcPts val="1000"/>
            </a:lnSpc>
          </a:pP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■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header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構造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左：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title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右：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status / Back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左右分離（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flex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）で固定</a:t>
          </a:r>
        </a:p>
        <a:p>
          <a:pPr>
            <a:lnSpc>
              <a:spcPts val="1000"/>
            </a:lnSpc>
          </a:pP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■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track_adjust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tab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切替構造確定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mps_is_hidden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による表示切替で統一</a:t>
          </a:r>
        </a:p>
        <a:p>
          <a:pPr>
            <a:lnSpc>
              <a:spcPts val="1000"/>
            </a:lnSpc>
          </a:pPr>
          <a:endParaRPr kumimoji="1" lang="ja-JP" altLang="en-US" sz="9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ts val="1000"/>
            </a:lnSpc>
          </a:pP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■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Auto Framing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外枠・左右構造・主要配置確定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内部微差は後工程調整</a:t>
          </a:r>
        </a:p>
        <a:p>
          <a:pPr>
            <a:lnSpc>
              <a:spcPts val="1000"/>
            </a:lnSpc>
          </a:pPr>
          <a:endParaRPr kumimoji="1" lang="ja-JP" altLang="en-US" sz="9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ts val="1000"/>
            </a:lnSpc>
          </a:pP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■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Image Adjust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外枠（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512×309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）確定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- 5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列構造（幅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56px / gap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約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46px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）確定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内部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UI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は未実装</a:t>
          </a:r>
        </a:p>
        <a:p>
          <a:pPr>
            <a:lnSpc>
              <a:spcPts val="1000"/>
            </a:lnSpc>
          </a:pPr>
          <a:endParaRPr kumimoji="1" lang="ja-JP" altLang="en-US" sz="9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ts val="1000"/>
            </a:lnSpc>
          </a:pP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■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bottom_content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外枠・主要配置確定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内部部品（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select / button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意匠）は簡易状態</a:t>
          </a:r>
        </a:p>
        <a:p>
          <a:pPr>
            <a:lnSpc>
              <a:spcPts val="1000"/>
            </a:lnSpc>
          </a:pPr>
          <a:endParaRPr kumimoji="1" lang="ja-JP" altLang="en-US" sz="9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ts val="1000"/>
            </a:lnSpc>
          </a:pP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■レイアウト方針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高さは子コンテンツ側で決定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親で高さ固定しない</a:t>
          </a:r>
        </a:p>
        <a:p>
          <a:pPr>
            <a:lnSpc>
              <a:spcPts val="1000"/>
            </a:lnSpc>
          </a:pPr>
          <a:endParaRPr kumimoji="1" lang="ja-JP" altLang="en-US" sz="9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ts val="1000"/>
            </a:lnSpc>
          </a:pP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■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hidden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制御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mps_is_hidden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は表示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ON/OFF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専用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display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制御用途への流用禁止</a:t>
          </a:r>
        </a:p>
        <a:p>
          <a:pPr>
            <a:lnSpc>
              <a:spcPts val="1000"/>
            </a:lnSpc>
          </a:pPr>
          <a:endParaRPr kumimoji="1" lang="ja-JP" altLang="en-US" sz="9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ts val="1000"/>
            </a:lnSpc>
          </a:pP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■既知保留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manual_control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の 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line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接点ズレ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Lock.top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微差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Image Adjust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内部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UI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bottom_content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内部意匠</a:t>
          </a:r>
        </a:p>
        <a:p>
          <a:pPr>
            <a:lnSpc>
              <a:spcPts val="1000"/>
            </a:lnSpc>
          </a:pPr>
          <a:endParaRPr kumimoji="1" lang="ja-JP" altLang="en-US" sz="9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>
            <a:lnSpc>
              <a:spcPts val="1000"/>
            </a:lnSpc>
          </a:pP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■デバッグ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debug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枠は現時点保持</a:t>
          </a:r>
        </a:p>
        <a:p>
          <a:pPr>
            <a:lnSpc>
              <a:spcPts val="1000"/>
            </a:lnSpc>
          </a:pP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</a:rPr>
            <a:t>- 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</a:rPr>
            <a:t>最終フェーズで削除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4"/>
  <sheetViews>
    <sheetView workbookViewId="0">
      <selection activeCell="D28" sqref="D28"/>
    </sheetView>
  </sheetViews>
  <sheetFormatPr defaultRowHeight="13.2" x14ac:dyDescent="0.2"/>
  <cols>
    <col min="1" max="2" width="22" customWidth="1"/>
    <col min="3" max="3" width="22.44140625" bestFit="1" customWidth="1"/>
    <col min="4" max="4" width="36.5546875" bestFit="1" customWidth="1"/>
    <col min="5" max="8" width="22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266</v>
      </c>
    </row>
    <row r="3" spans="1:8" x14ac:dyDescent="0.2">
      <c r="A3" t="s">
        <v>15</v>
      </c>
      <c r="B3" t="s">
        <v>9</v>
      </c>
      <c r="C3" t="s">
        <v>149</v>
      </c>
      <c r="D3" t="s">
        <v>150</v>
      </c>
      <c r="E3" t="s">
        <v>12</v>
      </c>
      <c r="F3" t="s">
        <v>13</v>
      </c>
      <c r="G3" t="s">
        <v>266</v>
      </c>
    </row>
    <row r="4" spans="1:8" x14ac:dyDescent="0.2">
      <c r="A4" t="s">
        <v>16</v>
      </c>
      <c r="B4" t="s">
        <v>9</v>
      </c>
      <c r="C4" t="s">
        <v>17</v>
      </c>
      <c r="D4" t="s">
        <v>18</v>
      </c>
      <c r="E4" t="s">
        <v>12</v>
      </c>
      <c r="F4" t="s">
        <v>13</v>
      </c>
      <c r="G4" t="s">
        <v>14</v>
      </c>
    </row>
    <row r="5" spans="1:8" x14ac:dyDescent="0.2">
      <c r="A5" t="s">
        <v>19</v>
      </c>
      <c r="B5" t="s">
        <v>9</v>
      </c>
      <c r="C5" t="s">
        <v>20</v>
      </c>
      <c r="D5" t="s">
        <v>21</v>
      </c>
      <c r="E5" t="s">
        <v>12</v>
      </c>
      <c r="F5" t="s">
        <v>13</v>
      </c>
      <c r="G5" t="s">
        <v>14</v>
      </c>
    </row>
    <row r="6" spans="1:8" x14ac:dyDescent="0.2">
      <c r="A6" t="s">
        <v>22</v>
      </c>
      <c r="B6" t="s">
        <v>9</v>
      </c>
      <c r="C6" t="s">
        <v>23</v>
      </c>
      <c r="D6" t="s">
        <v>24</v>
      </c>
      <c r="E6" t="s">
        <v>12</v>
      </c>
      <c r="F6" t="s">
        <v>13</v>
      </c>
      <c r="G6" t="s">
        <v>14</v>
      </c>
    </row>
    <row r="7" spans="1:8" x14ac:dyDescent="0.2">
      <c r="A7" t="s">
        <v>25</v>
      </c>
      <c r="B7" t="s">
        <v>26</v>
      </c>
      <c r="C7" t="s">
        <v>27</v>
      </c>
      <c r="D7" t="s">
        <v>28</v>
      </c>
      <c r="E7" t="s">
        <v>12</v>
      </c>
      <c r="F7" t="s">
        <v>29</v>
      </c>
      <c r="G7" t="s">
        <v>14</v>
      </c>
      <c r="H7" t="s">
        <v>30</v>
      </c>
    </row>
    <row r="8" spans="1:8" x14ac:dyDescent="0.2">
      <c r="A8" t="s">
        <v>31</v>
      </c>
      <c r="B8" t="s">
        <v>26</v>
      </c>
      <c r="C8" t="s">
        <v>32</v>
      </c>
      <c r="D8" t="s">
        <v>33</v>
      </c>
      <c r="E8" t="s">
        <v>12</v>
      </c>
      <c r="F8" t="s">
        <v>29</v>
      </c>
      <c r="G8" t="s">
        <v>14</v>
      </c>
      <c r="H8" t="s">
        <v>30</v>
      </c>
    </row>
    <row r="9" spans="1:8" x14ac:dyDescent="0.2">
      <c r="A9" t="s">
        <v>34</v>
      </c>
      <c r="B9" t="s">
        <v>26</v>
      </c>
      <c r="C9" t="s">
        <v>35</v>
      </c>
      <c r="D9" t="s">
        <v>36</v>
      </c>
      <c r="E9" t="s">
        <v>12</v>
      </c>
      <c r="F9" t="s">
        <v>29</v>
      </c>
      <c r="G9" t="s">
        <v>14</v>
      </c>
      <c r="H9" t="s">
        <v>30</v>
      </c>
    </row>
    <row r="10" spans="1:8" x14ac:dyDescent="0.2">
      <c r="A10" t="s">
        <v>37</v>
      </c>
      <c r="B10" t="s">
        <v>26</v>
      </c>
      <c r="C10" t="s">
        <v>38</v>
      </c>
      <c r="D10" t="s">
        <v>39</v>
      </c>
      <c r="E10" t="s">
        <v>12</v>
      </c>
      <c r="F10" t="s">
        <v>40</v>
      </c>
      <c r="G10" t="s">
        <v>14</v>
      </c>
    </row>
    <row r="11" spans="1:8" x14ac:dyDescent="0.2">
      <c r="A11" t="s">
        <v>41</v>
      </c>
      <c r="B11" t="s">
        <v>26</v>
      </c>
      <c r="C11" t="s">
        <v>42</v>
      </c>
      <c r="D11" t="s">
        <v>43</v>
      </c>
      <c r="E11" t="s">
        <v>12</v>
      </c>
      <c r="F11" t="s">
        <v>29</v>
      </c>
      <c r="G11" t="s">
        <v>14</v>
      </c>
    </row>
    <row r="12" spans="1:8" x14ac:dyDescent="0.2">
      <c r="A12" t="s">
        <v>44</v>
      </c>
      <c r="B12" t="s">
        <v>45</v>
      </c>
      <c r="C12" t="s">
        <v>46</v>
      </c>
      <c r="D12" t="s">
        <v>47</v>
      </c>
      <c r="E12" t="s">
        <v>12</v>
      </c>
      <c r="F12" t="s">
        <v>40</v>
      </c>
      <c r="G12" t="s">
        <v>14</v>
      </c>
    </row>
    <row r="13" spans="1:8" x14ac:dyDescent="0.2">
      <c r="A13" t="s">
        <v>48</v>
      </c>
      <c r="B13" t="s">
        <v>45</v>
      </c>
      <c r="C13" t="s">
        <v>49</v>
      </c>
      <c r="D13" t="s">
        <v>50</v>
      </c>
      <c r="E13" t="s">
        <v>12</v>
      </c>
      <c r="F13" t="s">
        <v>29</v>
      </c>
      <c r="G13" t="s">
        <v>14</v>
      </c>
      <c r="H13" t="s">
        <v>30</v>
      </c>
    </row>
    <row r="14" spans="1:8" x14ac:dyDescent="0.2">
      <c r="A14" t="s">
        <v>51</v>
      </c>
      <c r="B14" t="s">
        <v>45</v>
      </c>
      <c r="C14" t="s">
        <v>52</v>
      </c>
      <c r="D14" t="s">
        <v>53</v>
      </c>
      <c r="E14" t="s">
        <v>12</v>
      </c>
      <c r="F14" t="s">
        <v>40</v>
      </c>
      <c r="G14" t="s">
        <v>14</v>
      </c>
    </row>
    <row r="15" spans="1:8" x14ac:dyDescent="0.2">
      <c r="A15" t="s">
        <v>54</v>
      </c>
      <c r="B15" t="s">
        <v>45</v>
      </c>
      <c r="C15" t="s">
        <v>55</v>
      </c>
      <c r="D15" t="s">
        <v>56</v>
      </c>
      <c r="E15" t="s">
        <v>12</v>
      </c>
      <c r="F15" t="s">
        <v>40</v>
      </c>
      <c r="G15" t="s">
        <v>14</v>
      </c>
    </row>
    <row r="16" spans="1:8" x14ac:dyDescent="0.2">
      <c r="A16" t="s">
        <v>57</v>
      </c>
      <c r="B16" t="s">
        <v>45</v>
      </c>
      <c r="C16" t="s">
        <v>58</v>
      </c>
      <c r="D16" t="s">
        <v>59</v>
      </c>
      <c r="E16" t="s">
        <v>12</v>
      </c>
      <c r="F16" t="s">
        <v>40</v>
      </c>
      <c r="G16" t="s">
        <v>14</v>
      </c>
    </row>
    <row r="17" spans="1:8" x14ac:dyDescent="0.2">
      <c r="A17" t="s">
        <v>60</v>
      </c>
      <c r="B17" t="s">
        <v>61</v>
      </c>
      <c r="C17" t="s">
        <v>62</v>
      </c>
      <c r="D17" t="s">
        <v>63</v>
      </c>
      <c r="E17" t="s">
        <v>12</v>
      </c>
      <c r="F17" t="s">
        <v>29</v>
      </c>
      <c r="G17" t="s">
        <v>14</v>
      </c>
      <c r="H17" t="s">
        <v>30</v>
      </c>
    </row>
    <row r="18" spans="1:8" x14ac:dyDescent="0.2">
      <c r="A18" t="s">
        <v>64</v>
      </c>
      <c r="B18" t="s">
        <v>61</v>
      </c>
      <c r="C18" t="s">
        <v>65</v>
      </c>
      <c r="D18" t="s">
        <v>66</v>
      </c>
      <c r="E18" t="s">
        <v>12</v>
      </c>
      <c r="F18" t="s">
        <v>29</v>
      </c>
      <c r="G18" t="s">
        <v>14</v>
      </c>
      <c r="H18" t="s">
        <v>30</v>
      </c>
    </row>
    <row r="19" spans="1:8" x14ac:dyDescent="0.2">
      <c r="A19" t="s">
        <v>67</v>
      </c>
      <c r="B19" t="s">
        <v>61</v>
      </c>
      <c r="C19" t="s">
        <v>68</v>
      </c>
      <c r="D19" t="s">
        <v>69</v>
      </c>
      <c r="E19" t="s">
        <v>12</v>
      </c>
      <c r="F19" t="s">
        <v>40</v>
      </c>
      <c r="G19" t="s">
        <v>14</v>
      </c>
    </row>
    <row r="20" spans="1:8" x14ac:dyDescent="0.2">
      <c r="A20" t="s">
        <v>70</v>
      </c>
      <c r="B20" t="s">
        <v>61</v>
      </c>
      <c r="C20" t="s">
        <v>71</v>
      </c>
      <c r="D20" t="s">
        <v>72</v>
      </c>
      <c r="E20" t="s">
        <v>12</v>
      </c>
      <c r="F20" t="s">
        <v>40</v>
      </c>
      <c r="G20" t="s">
        <v>14</v>
      </c>
    </row>
    <row r="21" spans="1:8" x14ac:dyDescent="0.2">
      <c r="A21" t="s">
        <v>73</v>
      </c>
      <c r="B21" t="s">
        <v>61</v>
      </c>
      <c r="C21" t="s">
        <v>74</v>
      </c>
      <c r="D21" t="s">
        <v>75</v>
      </c>
      <c r="E21" t="s">
        <v>12</v>
      </c>
      <c r="F21" t="s">
        <v>40</v>
      </c>
      <c r="G21" t="s">
        <v>14</v>
      </c>
    </row>
    <row r="22" spans="1:8" x14ac:dyDescent="0.2">
      <c r="A22" t="s">
        <v>76</v>
      </c>
      <c r="B22" t="s">
        <v>77</v>
      </c>
      <c r="C22" t="s">
        <v>78</v>
      </c>
      <c r="D22" t="s">
        <v>79</v>
      </c>
      <c r="E22" t="s">
        <v>12</v>
      </c>
      <c r="F22" t="s">
        <v>40</v>
      </c>
      <c r="G22" t="s">
        <v>14</v>
      </c>
    </row>
    <row r="23" spans="1:8" x14ac:dyDescent="0.2">
      <c r="A23" t="s">
        <v>80</v>
      </c>
      <c r="B23" t="s">
        <v>77</v>
      </c>
      <c r="C23" t="s">
        <v>81</v>
      </c>
      <c r="D23" t="s">
        <v>82</v>
      </c>
      <c r="E23" t="s">
        <v>12</v>
      </c>
      <c r="F23" t="s">
        <v>13</v>
      </c>
      <c r="G23" t="s">
        <v>14</v>
      </c>
    </row>
    <row r="24" spans="1:8" x14ac:dyDescent="0.2">
      <c r="A24" t="s">
        <v>83</v>
      </c>
      <c r="B24" t="s">
        <v>77</v>
      </c>
      <c r="C24" t="s">
        <v>84</v>
      </c>
      <c r="D24" t="s">
        <v>85</v>
      </c>
      <c r="E24" t="s">
        <v>86</v>
      </c>
      <c r="F24" t="s">
        <v>13</v>
      </c>
      <c r="G24" t="s">
        <v>14</v>
      </c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A6E3-055A-40DA-92C1-5367D497D732}">
  <sheetPr codeName="Sheet2"/>
  <dimension ref="A2:AB37"/>
  <sheetViews>
    <sheetView topLeftCell="A22" workbookViewId="0"/>
  </sheetViews>
  <sheetFormatPr defaultColWidth="1.88671875" defaultRowHeight="14.4" x14ac:dyDescent="0.3"/>
  <cols>
    <col min="1" max="2" width="1.88671875" style="2"/>
    <col min="3" max="3" width="2.77734375" style="2" bestFit="1" customWidth="1"/>
    <col min="4" max="16384" width="1.88671875" style="2"/>
  </cols>
  <sheetData>
    <row r="2" spans="1:28" x14ac:dyDescent="0.3">
      <c r="A2" s="2" t="s">
        <v>110</v>
      </c>
      <c r="E2" s="2" t="s">
        <v>111</v>
      </c>
    </row>
    <row r="4" spans="1:28" x14ac:dyDescent="0.3">
      <c r="B4" s="2" t="s">
        <v>112</v>
      </c>
    </row>
    <row r="6" spans="1:28" x14ac:dyDescent="0.3">
      <c r="C6" s="2">
        <v>1</v>
      </c>
      <c r="E6" s="2" t="s">
        <v>116</v>
      </c>
    </row>
    <row r="7" spans="1:28" x14ac:dyDescent="0.3">
      <c r="C7" s="2">
        <v>2</v>
      </c>
      <c r="E7" s="2" t="s">
        <v>117</v>
      </c>
    </row>
    <row r="8" spans="1:28" x14ac:dyDescent="0.3">
      <c r="C8" s="2">
        <v>3</v>
      </c>
      <c r="E8" s="2" t="s">
        <v>118</v>
      </c>
    </row>
    <row r="9" spans="1:28" x14ac:dyDescent="0.3">
      <c r="C9" s="2">
        <v>4</v>
      </c>
      <c r="E9" s="2" t="s">
        <v>119</v>
      </c>
      <c r="AB9" s="2" t="s">
        <v>140</v>
      </c>
    </row>
    <row r="10" spans="1:28" x14ac:dyDescent="0.3">
      <c r="C10" s="2">
        <v>5</v>
      </c>
      <c r="E10" s="2" t="s">
        <v>120</v>
      </c>
      <c r="AB10" s="2" t="s">
        <v>140</v>
      </c>
    </row>
    <row r="12" spans="1:28" x14ac:dyDescent="0.3">
      <c r="B12" s="2" t="s">
        <v>113</v>
      </c>
    </row>
    <row r="13" spans="1:28" x14ac:dyDescent="0.3">
      <c r="C13" s="2" t="s">
        <v>115</v>
      </c>
    </row>
    <row r="14" spans="1:28" x14ac:dyDescent="0.3">
      <c r="C14" s="2">
        <v>1</v>
      </c>
      <c r="E14" s="2" t="s">
        <v>114</v>
      </c>
    </row>
    <row r="15" spans="1:28" x14ac:dyDescent="0.3">
      <c r="F15" s="2" t="s">
        <v>126</v>
      </c>
      <c r="AB15" s="2" t="s">
        <v>140</v>
      </c>
    </row>
    <row r="16" spans="1:28" x14ac:dyDescent="0.3">
      <c r="F16" s="2" t="s">
        <v>127</v>
      </c>
      <c r="AB16" s="2" t="s">
        <v>140</v>
      </c>
    </row>
    <row r="17" spans="3:28" x14ac:dyDescent="0.3">
      <c r="F17" s="2" t="s">
        <v>128</v>
      </c>
      <c r="AB17" s="2" t="s">
        <v>141</v>
      </c>
    </row>
    <row r="18" spans="3:28" x14ac:dyDescent="0.3">
      <c r="F18" s="2" t="s">
        <v>125</v>
      </c>
      <c r="AB18" s="2" t="s">
        <v>140</v>
      </c>
    </row>
    <row r="20" spans="3:28" x14ac:dyDescent="0.3">
      <c r="C20" s="2">
        <v>2</v>
      </c>
      <c r="E20" s="2" t="s">
        <v>122</v>
      </c>
    </row>
    <row r="21" spans="3:28" x14ac:dyDescent="0.3">
      <c r="F21" s="2" t="s">
        <v>129</v>
      </c>
      <c r="AB21" s="2" t="s">
        <v>141</v>
      </c>
    </row>
    <row r="22" spans="3:28" x14ac:dyDescent="0.3">
      <c r="F22" s="2" t="s">
        <v>132</v>
      </c>
      <c r="AB22" s="2" t="s">
        <v>141</v>
      </c>
    </row>
    <row r="23" spans="3:28" x14ac:dyDescent="0.3">
      <c r="G23" s="2" t="s">
        <v>133</v>
      </c>
      <c r="AB23" s="2" t="s">
        <v>141</v>
      </c>
    </row>
    <row r="24" spans="3:28" x14ac:dyDescent="0.3">
      <c r="G24" s="2" t="s">
        <v>134</v>
      </c>
      <c r="AB24" s="2" t="s">
        <v>144</v>
      </c>
    </row>
    <row r="25" spans="3:28" x14ac:dyDescent="0.3">
      <c r="G25" s="2" t="s">
        <v>135</v>
      </c>
      <c r="AB25" s="2" t="s">
        <v>144</v>
      </c>
    </row>
    <row r="26" spans="3:28" x14ac:dyDescent="0.3">
      <c r="G26" s="2" t="s">
        <v>136</v>
      </c>
      <c r="AB26" s="2" t="s">
        <v>141</v>
      </c>
    </row>
    <row r="27" spans="3:28" x14ac:dyDescent="0.3">
      <c r="F27" s="2" t="s">
        <v>130</v>
      </c>
      <c r="AB27" s="2" t="s">
        <v>142</v>
      </c>
    </row>
    <row r="28" spans="3:28" x14ac:dyDescent="0.3">
      <c r="F28" s="2" t="s">
        <v>131</v>
      </c>
      <c r="AB28" s="2" t="s">
        <v>141</v>
      </c>
    </row>
    <row r="30" spans="3:28" x14ac:dyDescent="0.3">
      <c r="C30" s="2">
        <v>3</v>
      </c>
      <c r="E30" s="2" t="s">
        <v>123</v>
      </c>
      <c r="AB30" s="2" t="s">
        <v>140</v>
      </c>
    </row>
    <row r="32" spans="3:28" x14ac:dyDescent="0.3">
      <c r="C32" s="2">
        <v>4</v>
      </c>
      <c r="E32" s="2" t="s">
        <v>143</v>
      </c>
      <c r="AB32" s="2" t="s">
        <v>141</v>
      </c>
    </row>
    <row r="34" spans="3:28" x14ac:dyDescent="0.3">
      <c r="C34" s="2">
        <v>5</v>
      </c>
      <c r="E34" s="2" t="s">
        <v>124</v>
      </c>
      <c r="AB34" s="2" t="s">
        <v>148</v>
      </c>
    </row>
    <row r="35" spans="3:28" x14ac:dyDescent="0.3">
      <c r="C35" s="2">
        <v>6</v>
      </c>
      <c r="E35" s="2" t="s">
        <v>145</v>
      </c>
      <c r="AB35" s="2" t="s">
        <v>140</v>
      </c>
    </row>
    <row r="36" spans="3:28" x14ac:dyDescent="0.3">
      <c r="C36" s="2">
        <v>7</v>
      </c>
      <c r="E36" s="2" t="s">
        <v>146</v>
      </c>
      <c r="AB36" s="2" t="s">
        <v>141</v>
      </c>
    </row>
    <row r="37" spans="3:28" x14ac:dyDescent="0.3">
      <c r="C37" s="2">
        <v>8</v>
      </c>
      <c r="E37" s="2" t="s">
        <v>147</v>
      </c>
      <c r="AB37" s="2" t="s">
        <v>140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E0480-78CE-4BE8-AE46-A9D4D6DDD2F5}">
  <sheetPr codeName="Sheet3"/>
  <dimension ref="B2:O223"/>
  <sheetViews>
    <sheetView topLeftCell="I1" workbookViewId="0">
      <selection activeCell="I3" sqref="I3:N3"/>
    </sheetView>
  </sheetViews>
  <sheetFormatPr defaultRowHeight="13.2" x14ac:dyDescent="0.2"/>
  <cols>
    <col min="1" max="8" width="0" style="3" hidden="1" customWidth="1"/>
    <col min="9" max="9" width="10.21875" style="3" bestFit="1" customWidth="1"/>
    <col min="10" max="10" width="8.5546875" style="3" bestFit="1" customWidth="1"/>
    <col min="11" max="11" width="36.33203125" style="3" bestFit="1" customWidth="1"/>
    <col min="12" max="12" width="44.6640625" style="4" customWidth="1"/>
    <col min="13" max="13" width="11.109375" style="4" bestFit="1" customWidth="1"/>
    <col min="14" max="14" width="47.77734375" style="4" customWidth="1"/>
    <col min="15" max="16384" width="8.88671875" style="3"/>
  </cols>
  <sheetData>
    <row r="2" spans="2:15" ht="14.4" x14ac:dyDescent="0.2">
      <c r="B2" s="5" t="s">
        <v>151</v>
      </c>
      <c r="C2" s="5"/>
    </row>
    <row r="3" spans="2:15" ht="14.4" x14ac:dyDescent="0.2">
      <c r="B3" s="5"/>
      <c r="C3" s="5"/>
      <c r="I3" s="3" t="s">
        <v>251</v>
      </c>
      <c r="J3" s="3" t="s">
        <v>1</v>
      </c>
      <c r="K3" s="3" t="s">
        <v>2</v>
      </c>
      <c r="L3" s="4" t="s">
        <v>3</v>
      </c>
      <c r="M3" s="4" t="s">
        <v>6</v>
      </c>
      <c r="N3" s="4" t="s">
        <v>7</v>
      </c>
    </row>
    <row r="4" spans="2:15" ht="39.6" x14ac:dyDescent="0.2">
      <c r="B4" s="5" t="s">
        <v>137</v>
      </c>
      <c r="C4" s="5"/>
      <c r="I4" s="3" t="s">
        <v>252</v>
      </c>
      <c r="J4" s="3" t="s">
        <v>9</v>
      </c>
      <c r="K4" s="3" t="s">
        <v>269</v>
      </c>
      <c r="L4" s="4" t="s">
        <v>270</v>
      </c>
      <c r="M4" s="4" t="s">
        <v>90</v>
      </c>
      <c r="N4" s="4" t="s">
        <v>271</v>
      </c>
    </row>
    <row r="5" spans="2:15" ht="66" x14ac:dyDescent="0.2">
      <c r="B5" s="5" t="s">
        <v>152</v>
      </c>
      <c r="C5" s="5"/>
      <c r="I5" s="3" t="s">
        <v>253</v>
      </c>
      <c r="J5" s="3" t="s">
        <v>9</v>
      </c>
      <c r="K5" s="3" t="s">
        <v>272</v>
      </c>
      <c r="L5" s="4" t="s">
        <v>273</v>
      </c>
      <c r="M5" s="4" t="s">
        <v>282</v>
      </c>
      <c r="N5" s="4" t="s">
        <v>281</v>
      </c>
    </row>
    <row r="6" spans="2:15" ht="26.4" x14ac:dyDescent="0.2">
      <c r="B6" s="5"/>
      <c r="C6" s="5"/>
      <c r="I6" s="3" t="s">
        <v>254</v>
      </c>
      <c r="J6" s="3" t="s">
        <v>9</v>
      </c>
      <c r="K6" s="3" t="s">
        <v>255</v>
      </c>
      <c r="L6" s="4" t="s">
        <v>274</v>
      </c>
      <c r="M6" s="4" t="s">
        <v>90</v>
      </c>
      <c r="N6" s="4" t="s">
        <v>267</v>
      </c>
    </row>
    <row r="7" spans="2:15" ht="26.4" x14ac:dyDescent="0.2">
      <c r="B7" s="5" t="s">
        <v>138</v>
      </c>
      <c r="C7" s="5"/>
      <c r="I7" s="3" t="s">
        <v>256</v>
      </c>
      <c r="J7" s="3" t="s">
        <v>9</v>
      </c>
      <c r="K7" s="3" t="s">
        <v>257</v>
      </c>
      <c r="L7" s="4" t="s">
        <v>275</v>
      </c>
      <c r="M7" s="4" t="s">
        <v>90</v>
      </c>
      <c r="N7" s="4" t="s">
        <v>268</v>
      </c>
    </row>
    <row r="8" spans="2:15" ht="39.6" x14ac:dyDescent="0.2">
      <c r="B8" s="5"/>
      <c r="C8" s="5"/>
      <c r="I8" s="3" t="s">
        <v>258</v>
      </c>
      <c r="J8" s="3" t="s">
        <v>9</v>
      </c>
      <c r="K8" s="3" t="s">
        <v>276</v>
      </c>
      <c r="L8" s="4" t="s">
        <v>277</v>
      </c>
      <c r="M8" s="4" t="s">
        <v>282</v>
      </c>
      <c r="N8" s="4" t="s">
        <v>278</v>
      </c>
    </row>
    <row r="9" spans="2:15" ht="26.4" x14ac:dyDescent="0.2">
      <c r="B9" s="5" t="s">
        <v>227</v>
      </c>
      <c r="C9" s="5"/>
      <c r="I9" s="3" t="s">
        <v>259</v>
      </c>
      <c r="J9" s="3" t="s">
        <v>9</v>
      </c>
      <c r="K9" s="3" t="s">
        <v>260</v>
      </c>
      <c r="L9" s="4" t="s">
        <v>283</v>
      </c>
      <c r="M9" s="4" t="s">
        <v>282</v>
      </c>
      <c r="N9" s="4" t="s">
        <v>261</v>
      </c>
    </row>
    <row r="10" spans="2:15" ht="39.6" x14ac:dyDescent="0.2">
      <c r="B10" s="5" t="s">
        <v>228</v>
      </c>
      <c r="C10" s="5"/>
      <c r="I10" s="3" t="s">
        <v>262</v>
      </c>
      <c r="J10" s="3" t="s">
        <v>9</v>
      </c>
      <c r="K10" s="3" t="s">
        <v>279</v>
      </c>
      <c r="L10" s="4" t="s">
        <v>284</v>
      </c>
      <c r="M10" s="4" t="s">
        <v>286</v>
      </c>
      <c r="N10" s="4" t="s">
        <v>285</v>
      </c>
      <c r="O10" s="3" t="s">
        <v>287</v>
      </c>
    </row>
    <row r="11" spans="2:15" ht="26.4" x14ac:dyDescent="0.2">
      <c r="B11" s="5" t="s">
        <v>153</v>
      </c>
      <c r="C11" s="5"/>
      <c r="I11" s="3" t="s">
        <v>263</v>
      </c>
      <c r="J11" s="3" t="s">
        <v>9</v>
      </c>
      <c r="K11" s="3" t="s">
        <v>264</v>
      </c>
      <c r="L11" s="4" t="s">
        <v>280</v>
      </c>
      <c r="M11" s="4" t="s">
        <v>282</v>
      </c>
      <c r="N11" s="4" t="s">
        <v>265</v>
      </c>
    </row>
    <row r="12" spans="2:15" ht="14.4" x14ac:dyDescent="0.2">
      <c r="B12" s="5" t="s">
        <v>154</v>
      </c>
      <c r="C12" s="5"/>
    </row>
    <row r="13" spans="2:15" ht="14.4" x14ac:dyDescent="0.2">
      <c r="B13" s="5"/>
      <c r="C13" s="5"/>
    </row>
    <row r="14" spans="2:15" ht="14.4" x14ac:dyDescent="0.2">
      <c r="B14" s="5" t="s">
        <v>121</v>
      </c>
      <c r="C14" s="5"/>
    </row>
    <row r="15" spans="2:15" ht="14.4" x14ac:dyDescent="0.2">
      <c r="B15" s="5"/>
      <c r="C15" s="5"/>
    </row>
    <row r="16" spans="2:15" ht="14.4" x14ac:dyDescent="0.2">
      <c r="B16" s="5" t="s">
        <v>155</v>
      </c>
      <c r="C16" s="5"/>
    </row>
    <row r="17" spans="2:3" ht="14.4" x14ac:dyDescent="0.2">
      <c r="B17" s="5" t="s">
        <v>156</v>
      </c>
      <c r="C17" s="5"/>
    </row>
    <row r="18" spans="2:3" ht="14.4" x14ac:dyDescent="0.2">
      <c r="B18" s="5"/>
      <c r="C18" s="5"/>
    </row>
    <row r="19" spans="2:3" ht="14.4" x14ac:dyDescent="0.2">
      <c r="B19" s="5" t="s">
        <v>139</v>
      </c>
      <c r="C19" s="5"/>
    </row>
    <row r="20" spans="2:3" ht="14.4" x14ac:dyDescent="0.2">
      <c r="B20" s="5"/>
      <c r="C20" s="5"/>
    </row>
    <row r="21" spans="2:3" ht="14.4" x14ac:dyDescent="0.2">
      <c r="B21" s="5" t="s">
        <v>157</v>
      </c>
      <c r="C21" s="5"/>
    </row>
    <row r="22" spans="2:3" ht="14.4" x14ac:dyDescent="0.2">
      <c r="B22" s="5" t="s">
        <v>229</v>
      </c>
      <c r="C22" s="5"/>
    </row>
    <row r="23" spans="2:3" ht="14.4" x14ac:dyDescent="0.2">
      <c r="B23" s="5"/>
      <c r="C23" s="5"/>
    </row>
    <row r="24" spans="2:3" ht="14.4" x14ac:dyDescent="0.2">
      <c r="B24" s="5"/>
      <c r="C24" s="5"/>
    </row>
    <row r="25" spans="2:3" ht="14.4" x14ac:dyDescent="0.2">
      <c r="B25" s="5"/>
      <c r="C25" s="5"/>
    </row>
    <row r="26" spans="2:3" ht="14.4" x14ac:dyDescent="0.2">
      <c r="B26" s="5" t="s">
        <v>158</v>
      </c>
      <c r="C26" s="5"/>
    </row>
    <row r="27" spans="2:3" ht="14.4" x14ac:dyDescent="0.2">
      <c r="B27" s="5"/>
      <c r="C27" s="5"/>
    </row>
    <row r="28" spans="2:3" ht="14.4" x14ac:dyDescent="0.2">
      <c r="B28" s="5" t="s">
        <v>137</v>
      </c>
      <c r="C28" s="5"/>
    </row>
    <row r="29" spans="2:3" ht="14.4" x14ac:dyDescent="0.2">
      <c r="B29" s="5" t="s">
        <v>159</v>
      </c>
      <c r="C29" s="5"/>
    </row>
    <row r="30" spans="2:3" ht="14.4" x14ac:dyDescent="0.2">
      <c r="B30" s="5"/>
      <c r="C30" s="5"/>
    </row>
    <row r="31" spans="2:3" ht="14.4" x14ac:dyDescent="0.2">
      <c r="B31" s="5" t="s">
        <v>138</v>
      </c>
      <c r="C31" s="5"/>
    </row>
    <row r="32" spans="2:3" ht="14.4" x14ac:dyDescent="0.2">
      <c r="B32" s="5"/>
      <c r="C32" s="5"/>
    </row>
    <row r="33" spans="2:3" ht="14.4" x14ac:dyDescent="0.2">
      <c r="B33" s="5" t="s">
        <v>230</v>
      </c>
      <c r="C33" s="5"/>
    </row>
    <row r="34" spans="2:3" ht="14.4" x14ac:dyDescent="0.2">
      <c r="B34" s="5" t="s">
        <v>231</v>
      </c>
      <c r="C34" s="5"/>
    </row>
    <row r="35" spans="2:3" ht="14.4" x14ac:dyDescent="0.2">
      <c r="B35" s="5" t="s">
        <v>160</v>
      </c>
      <c r="C35" s="5"/>
    </row>
    <row r="36" spans="2:3" ht="14.4" x14ac:dyDescent="0.2">
      <c r="B36" s="5" t="s">
        <v>161</v>
      </c>
      <c r="C36" s="5"/>
    </row>
    <row r="37" spans="2:3" ht="14.4" x14ac:dyDescent="0.2">
      <c r="B37" s="5"/>
      <c r="C37" s="5"/>
    </row>
    <row r="38" spans="2:3" ht="14.4" x14ac:dyDescent="0.2">
      <c r="B38" s="5" t="s">
        <v>121</v>
      </c>
      <c r="C38" s="5"/>
    </row>
    <row r="39" spans="2:3" ht="14.4" x14ac:dyDescent="0.2">
      <c r="B39" s="5"/>
      <c r="C39" s="5"/>
    </row>
    <row r="40" spans="2:3" ht="14.4" x14ac:dyDescent="0.2">
      <c r="B40" s="5" t="s">
        <v>162</v>
      </c>
      <c r="C40" s="5"/>
    </row>
    <row r="41" spans="2:3" ht="14.4" x14ac:dyDescent="0.2">
      <c r="B41" s="5" t="s">
        <v>163</v>
      </c>
      <c r="C41" s="5"/>
    </row>
    <row r="42" spans="2:3" ht="14.4" x14ac:dyDescent="0.2">
      <c r="B42" s="5"/>
      <c r="C42" s="5"/>
    </row>
    <row r="43" spans="2:3" ht="14.4" x14ac:dyDescent="0.2">
      <c r="B43" s="5" t="s">
        <v>139</v>
      </c>
      <c r="C43" s="5"/>
    </row>
    <row r="44" spans="2:3" ht="14.4" x14ac:dyDescent="0.2">
      <c r="B44" s="5"/>
      <c r="C44" s="5"/>
    </row>
    <row r="45" spans="2:3" ht="14.4" x14ac:dyDescent="0.2">
      <c r="B45" s="5" t="s">
        <v>164</v>
      </c>
      <c r="C45" s="5"/>
    </row>
    <row r="46" spans="2:3" ht="14.4" x14ac:dyDescent="0.2">
      <c r="B46" s="5" t="s">
        <v>165</v>
      </c>
      <c r="C46" s="5"/>
    </row>
    <row r="47" spans="2:3" ht="14.4" x14ac:dyDescent="0.2">
      <c r="B47" s="5"/>
      <c r="C47" s="5"/>
    </row>
    <row r="48" spans="2:3" ht="14.4" x14ac:dyDescent="0.2">
      <c r="B48" s="5"/>
      <c r="C48" s="5"/>
    </row>
    <row r="49" spans="2:3" ht="14.4" x14ac:dyDescent="0.2">
      <c r="B49" s="5"/>
      <c r="C49" s="5"/>
    </row>
    <row r="50" spans="2:3" ht="14.4" x14ac:dyDescent="0.2">
      <c r="B50" s="5" t="s">
        <v>166</v>
      </c>
      <c r="C50" s="5"/>
    </row>
    <row r="51" spans="2:3" ht="14.4" x14ac:dyDescent="0.2">
      <c r="B51" s="5"/>
      <c r="C51" s="5"/>
    </row>
    <row r="52" spans="2:3" ht="14.4" x14ac:dyDescent="0.2">
      <c r="B52" s="5" t="s">
        <v>137</v>
      </c>
      <c r="C52" s="5"/>
    </row>
    <row r="53" spans="2:3" ht="14.4" x14ac:dyDescent="0.2">
      <c r="B53" s="5" t="s">
        <v>167</v>
      </c>
      <c r="C53" s="5"/>
    </row>
    <row r="54" spans="2:3" ht="14.4" x14ac:dyDescent="0.2">
      <c r="B54" s="5"/>
      <c r="C54" s="5"/>
    </row>
    <row r="55" spans="2:3" ht="14.4" x14ac:dyDescent="0.2">
      <c r="B55" s="5" t="s">
        <v>138</v>
      </c>
      <c r="C55" s="5"/>
    </row>
    <row r="56" spans="2:3" ht="14.4" x14ac:dyDescent="0.2">
      <c r="B56" s="5"/>
      <c r="C56" s="5"/>
    </row>
    <row r="57" spans="2:3" ht="14.4" x14ac:dyDescent="0.2">
      <c r="B57" s="5" t="s">
        <v>232</v>
      </c>
      <c r="C57" s="5"/>
    </row>
    <row r="58" spans="2:3" ht="14.4" x14ac:dyDescent="0.2">
      <c r="B58" s="5" t="s">
        <v>233</v>
      </c>
      <c r="C58" s="5"/>
    </row>
    <row r="59" spans="2:3" ht="14.4" x14ac:dyDescent="0.2">
      <c r="B59" s="5" t="s">
        <v>168</v>
      </c>
      <c r="C59" s="5"/>
    </row>
    <row r="60" spans="2:3" ht="14.4" x14ac:dyDescent="0.2">
      <c r="B60" s="5" t="s">
        <v>169</v>
      </c>
      <c r="C60" s="5"/>
    </row>
    <row r="61" spans="2:3" ht="14.4" x14ac:dyDescent="0.2">
      <c r="B61" s="5"/>
      <c r="C61" s="5"/>
    </row>
    <row r="62" spans="2:3" ht="14.4" x14ac:dyDescent="0.2">
      <c r="B62" s="5" t="s">
        <v>121</v>
      </c>
      <c r="C62" s="5"/>
    </row>
    <row r="63" spans="2:3" ht="14.4" x14ac:dyDescent="0.2">
      <c r="B63" s="5"/>
      <c r="C63" s="5"/>
    </row>
    <row r="64" spans="2:3" ht="14.4" x14ac:dyDescent="0.2">
      <c r="B64" s="5" t="s">
        <v>234</v>
      </c>
      <c r="C64" s="5"/>
    </row>
    <row r="65" spans="2:3" ht="14.4" x14ac:dyDescent="0.2">
      <c r="B65" s="5"/>
      <c r="C65" s="5"/>
    </row>
    <row r="66" spans="2:3" ht="14.4" x14ac:dyDescent="0.2">
      <c r="B66" s="5" t="s">
        <v>139</v>
      </c>
      <c r="C66" s="5"/>
    </row>
    <row r="67" spans="2:3" ht="14.4" x14ac:dyDescent="0.2">
      <c r="B67" s="5"/>
      <c r="C67" s="5"/>
    </row>
    <row r="68" spans="2:3" ht="14.4" x14ac:dyDescent="0.2">
      <c r="B68" s="5" t="s">
        <v>170</v>
      </c>
      <c r="C68" s="5"/>
    </row>
    <row r="69" spans="2:3" ht="14.4" x14ac:dyDescent="0.2">
      <c r="B69" s="5" t="s">
        <v>235</v>
      </c>
      <c r="C69" s="5"/>
    </row>
    <row r="70" spans="2:3" ht="14.4" x14ac:dyDescent="0.2">
      <c r="B70" s="5"/>
      <c r="C70" s="5"/>
    </row>
    <row r="71" spans="2:3" ht="14.4" x14ac:dyDescent="0.2">
      <c r="B71" s="5"/>
      <c r="C71" s="5"/>
    </row>
    <row r="72" spans="2:3" ht="14.4" x14ac:dyDescent="0.2">
      <c r="B72" s="5"/>
      <c r="C72" s="5"/>
    </row>
    <row r="73" spans="2:3" ht="14.4" x14ac:dyDescent="0.2">
      <c r="B73" s="5" t="s">
        <v>171</v>
      </c>
      <c r="C73" s="5"/>
    </row>
    <row r="74" spans="2:3" ht="14.4" x14ac:dyDescent="0.2">
      <c r="B74" s="5"/>
      <c r="C74" s="5"/>
    </row>
    <row r="75" spans="2:3" ht="14.4" x14ac:dyDescent="0.2">
      <c r="B75" s="5" t="s">
        <v>137</v>
      </c>
      <c r="C75" s="5"/>
    </row>
    <row r="76" spans="2:3" ht="14.4" x14ac:dyDescent="0.2">
      <c r="B76" s="5" t="s">
        <v>172</v>
      </c>
      <c r="C76" s="5"/>
    </row>
    <row r="77" spans="2:3" ht="14.4" x14ac:dyDescent="0.2">
      <c r="B77" s="5"/>
      <c r="C77" s="5"/>
    </row>
    <row r="78" spans="2:3" ht="14.4" x14ac:dyDescent="0.2">
      <c r="B78" s="5" t="s">
        <v>138</v>
      </c>
      <c r="C78" s="5"/>
    </row>
    <row r="79" spans="2:3" ht="14.4" x14ac:dyDescent="0.2">
      <c r="B79" s="5"/>
      <c r="C79" s="5"/>
    </row>
    <row r="80" spans="2:3" ht="14.4" x14ac:dyDescent="0.2">
      <c r="B80" s="5" t="s">
        <v>236</v>
      </c>
      <c r="C80" s="5"/>
    </row>
    <row r="81" spans="2:3" ht="14.4" x14ac:dyDescent="0.2">
      <c r="B81" s="5" t="s">
        <v>237</v>
      </c>
      <c r="C81" s="5"/>
    </row>
    <row r="82" spans="2:3" ht="14.4" x14ac:dyDescent="0.2">
      <c r="B82" s="5" t="s">
        <v>173</v>
      </c>
      <c r="C82" s="5"/>
    </row>
    <row r="83" spans="2:3" ht="14.4" x14ac:dyDescent="0.2">
      <c r="B83" s="5" t="s">
        <v>174</v>
      </c>
      <c r="C83" s="5"/>
    </row>
    <row r="84" spans="2:3" ht="14.4" x14ac:dyDescent="0.2">
      <c r="B84" s="5"/>
      <c r="C84" s="5"/>
    </row>
    <row r="85" spans="2:3" ht="14.4" x14ac:dyDescent="0.2">
      <c r="B85" s="5" t="s">
        <v>121</v>
      </c>
      <c r="C85" s="5"/>
    </row>
    <row r="86" spans="2:3" ht="14.4" x14ac:dyDescent="0.2">
      <c r="B86" s="5"/>
      <c r="C86" s="5"/>
    </row>
    <row r="87" spans="2:3" ht="14.4" x14ac:dyDescent="0.2">
      <c r="B87" s="5" t="s">
        <v>175</v>
      </c>
      <c r="C87" s="5"/>
    </row>
    <row r="88" spans="2:3" ht="14.4" x14ac:dyDescent="0.2">
      <c r="B88" s="5" t="s">
        <v>176</v>
      </c>
      <c r="C88" s="5"/>
    </row>
    <row r="89" spans="2:3" ht="14.4" x14ac:dyDescent="0.2">
      <c r="B89" s="5" t="s">
        <v>177</v>
      </c>
      <c r="C89" s="5"/>
    </row>
    <row r="90" spans="2:3" ht="14.4" x14ac:dyDescent="0.2">
      <c r="B90" s="5"/>
      <c r="C90" s="5"/>
    </row>
    <row r="91" spans="2:3" ht="14.4" x14ac:dyDescent="0.2">
      <c r="B91" s="5" t="s">
        <v>139</v>
      </c>
      <c r="C91" s="5"/>
    </row>
    <row r="92" spans="2:3" ht="14.4" x14ac:dyDescent="0.2">
      <c r="B92" s="5"/>
      <c r="C92" s="5"/>
    </row>
    <row r="93" spans="2:3" ht="14.4" x14ac:dyDescent="0.2">
      <c r="B93" s="5" t="s">
        <v>178</v>
      </c>
      <c r="C93" s="5"/>
    </row>
    <row r="94" spans="2:3" ht="14.4" x14ac:dyDescent="0.2">
      <c r="B94" s="5" t="s">
        <v>179</v>
      </c>
      <c r="C94" s="5"/>
    </row>
    <row r="95" spans="2:3" ht="14.4" x14ac:dyDescent="0.2">
      <c r="B95" s="5"/>
      <c r="C95" s="5"/>
    </row>
    <row r="96" spans="2:3" ht="14.4" x14ac:dyDescent="0.2">
      <c r="B96" s="5"/>
      <c r="C96" s="5"/>
    </row>
    <row r="97" spans="2:3" ht="14.4" x14ac:dyDescent="0.2">
      <c r="B97" s="5"/>
      <c r="C97" s="5"/>
    </row>
    <row r="98" spans="2:3" ht="14.4" x14ac:dyDescent="0.2">
      <c r="B98" s="5" t="s">
        <v>180</v>
      </c>
      <c r="C98" s="5"/>
    </row>
    <row r="99" spans="2:3" ht="14.4" x14ac:dyDescent="0.2">
      <c r="B99" s="5"/>
      <c r="C99" s="5"/>
    </row>
    <row r="100" spans="2:3" ht="14.4" x14ac:dyDescent="0.2">
      <c r="B100" s="5" t="s">
        <v>137</v>
      </c>
      <c r="C100" s="5"/>
    </row>
    <row r="101" spans="2:3" ht="14.4" x14ac:dyDescent="0.2">
      <c r="B101" s="5" t="s">
        <v>181</v>
      </c>
      <c r="C101" s="5"/>
    </row>
    <row r="102" spans="2:3" ht="14.4" x14ac:dyDescent="0.2">
      <c r="B102" s="5"/>
      <c r="C102" s="5"/>
    </row>
    <row r="103" spans="2:3" ht="14.4" x14ac:dyDescent="0.2">
      <c r="B103" s="5" t="s">
        <v>138</v>
      </c>
      <c r="C103" s="5"/>
    </row>
    <row r="104" spans="2:3" ht="14.4" x14ac:dyDescent="0.2">
      <c r="B104" s="5"/>
      <c r="C104" s="5"/>
    </row>
    <row r="105" spans="2:3" ht="14.4" x14ac:dyDescent="0.2">
      <c r="B105" s="5" t="s">
        <v>238</v>
      </c>
      <c r="C105" s="5"/>
    </row>
    <row r="106" spans="2:3" ht="14.4" x14ac:dyDescent="0.2">
      <c r="B106" s="5" t="s">
        <v>239</v>
      </c>
      <c r="C106" s="5"/>
    </row>
    <row r="107" spans="2:3" ht="14.4" x14ac:dyDescent="0.2">
      <c r="B107" s="5" t="s">
        <v>240</v>
      </c>
      <c r="C107" s="5"/>
    </row>
    <row r="108" spans="2:3" ht="14.4" x14ac:dyDescent="0.2">
      <c r="B108" s="5" t="s">
        <v>241</v>
      </c>
      <c r="C108" s="5"/>
    </row>
    <row r="109" spans="2:3" ht="14.4" x14ac:dyDescent="0.2">
      <c r="B109" s="5"/>
      <c r="C109" s="5"/>
    </row>
    <row r="110" spans="2:3" ht="14.4" x14ac:dyDescent="0.2">
      <c r="B110" s="5" t="s">
        <v>121</v>
      </c>
      <c r="C110" s="5"/>
    </row>
    <row r="111" spans="2:3" ht="14.4" x14ac:dyDescent="0.2">
      <c r="B111" s="5"/>
      <c r="C111" s="5"/>
    </row>
    <row r="112" spans="2:3" ht="14.4" x14ac:dyDescent="0.2">
      <c r="B112" s="5" t="s">
        <v>182</v>
      </c>
      <c r="C112" s="5"/>
    </row>
    <row r="113" spans="2:3" ht="14.4" x14ac:dyDescent="0.2">
      <c r="B113" s="5" t="s">
        <v>183</v>
      </c>
      <c r="C113" s="5"/>
    </row>
    <row r="114" spans="2:3" ht="14.4" x14ac:dyDescent="0.2">
      <c r="B114" s="5" t="s">
        <v>184</v>
      </c>
      <c r="C114" s="5"/>
    </row>
    <row r="115" spans="2:3" ht="14.4" x14ac:dyDescent="0.2">
      <c r="B115" s="5"/>
      <c r="C115" s="5"/>
    </row>
    <row r="116" spans="2:3" ht="14.4" x14ac:dyDescent="0.2">
      <c r="B116" s="5" t="s">
        <v>139</v>
      </c>
      <c r="C116" s="5"/>
    </row>
    <row r="117" spans="2:3" ht="14.4" x14ac:dyDescent="0.2">
      <c r="B117" s="5"/>
      <c r="C117" s="5"/>
    </row>
    <row r="118" spans="2:3" ht="14.4" x14ac:dyDescent="0.2">
      <c r="B118" s="5" t="s">
        <v>185</v>
      </c>
      <c r="C118" s="5"/>
    </row>
    <row r="119" spans="2:3" ht="14.4" x14ac:dyDescent="0.2">
      <c r="B119" s="5" t="s">
        <v>186</v>
      </c>
      <c r="C119" s="5"/>
    </row>
    <row r="120" spans="2:3" ht="14.4" x14ac:dyDescent="0.2">
      <c r="B120" s="5" t="s">
        <v>187</v>
      </c>
      <c r="C120" s="5"/>
    </row>
    <row r="121" spans="2:3" ht="14.4" x14ac:dyDescent="0.2">
      <c r="B121" s="5"/>
      <c r="C121" s="5"/>
    </row>
    <row r="122" spans="2:3" ht="14.4" x14ac:dyDescent="0.2">
      <c r="B122" s="5"/>
      <c r="C122" s="5"/>
    </row>
    <row r="123" spans="2:3" ht="14.4" x14ac:dyDescent="0.2">
      <c r="B123" s="5"/>
      <c r="C123" s="5"/>
    </row>
    <row r="124" spans="2:3" ht="14.4" x14ac:dyDescent="0.2">
      <c r="B124" s="5" t="s">
        <v>188</v>
      </c>
      <c r="C124" s="5"/>
    </row>
    <row r="125" spans="2:3" ht="14.4" x14ac:dyDescent="0.2">
      <c r="B125" s="5"/>
      <c r="C125" s="5"/>
    </row>
    <row r="126" spans="2:3" ht="14.4" x14ac:dyDescent="0.2">
      <c r="B126" s="5" t="s">
        <v>137</v>
      </c>
      <c r="C126" s="5"/>
    </row>
    <row r="127" spans="2:3" ht="14.4" x14ac:dyDescent="0.2">
      <c r="B127" s="5" t="s">
        <v>189</v>
      </c>
      <c r="C127" s="5"/>
    </row>
    <row r="128" spans="2:3" ht="14.4" x14ac:dyDescent="0.2">
      <c r="B128" s="5"/>
      <c r="C128" s="5"/>
    </row>
    <row r="129" spans="2:3" ht="14.4" x14ac:dyDescent="0.2">
      <c r="B129" s="5" t="s">
        <v>138</v>
      </c>
      <c r="C129" s="5"/>
    </row>
    <row r="130" spans="2:3" ht="14.4" x14ac:dyDescent="0.2">
      <c r="B130" s="5"/>
      <c r="C130" s="5"/>
    </row>
    <row r="131" spans="2:3" ht="14.4" x14ac:dyDescent="0.2">
      <c r="B131" s="5" t="s">
        <v>242</v>
      </c>
      <c r="C131" s="5"/>
    </row>
    <row r="132" spans="2:3" ht="14.4" x14ac:dyDescent="0.2">
      <c r="B132" s="5" t="s">
        <v>190</v>
      </c>
      <c r="C132" s="5"/>
    </row>
    <row r="133" spans="2:3" ht="14.4" x14ac:dyDescent="0.2">
      <c r="B133" s="5" t="s">
        <v>191</v>
      </c>
      <c r="C133" s="5"/>
    </row>
    <row r="134" spans="2:3" ht="14.4" x14ac:dyDescent="0.2">
      <c r="B134" s="5" t="s">
        <v>243</v>
      </c>
      <c r="C134" s="5"/>
    </row>
    <row r="135" spans="2:3" ht="14.4" x14ac:dyDescent="0.2">
      <c r="B135" s="5"/>
      <c r="C135" s="5"/>
    </row>
    <row r="136" spans="2:3" ht="14.4" x14ac:dyDescent="0.2">
      <c r="B136" s="5" t="s">
        <v>121</v>
      </c>
      <c r="C136" s="5"/>
    </row>
    <row r="137" spans="2:3" ht="14.4" x14ac:dyDescent="0.2">
      <c r="B137" s="5"/>
      <c r="C137" s="5"/>
    </row>
    <row r="138" spans="2:3" ht="14.4" x14ac:dyDescent="0.2">
      <c r="B138" s="5" t="s">
        <v>244</v>
      </c>
      <c r="C138" s="5"/>
    </row>
    <row r="139" spans="2:3" ht="14.4" x14ac:dyDescent="0.2">
      <c r="B139" s="5"/>
      <c r="C139" s="5"/>
    </row>
    <row r="140" spans="2:3" ht="14.4" x14ac:dyDescent="0.2">
      <c r="B140" s="5" t="s">
        <v>139</v>
      </c>
      <c r="C140" s="5"/>
    </row>
    <row r="141" spans="2:3" ht="14.4" x14ac:dyDescent="0.2">
      <c r="B141" s="5"/>
      <c r="C141" s="5"/>
    </row>
    <row r="142" spans="2:3" ht="14.4" x14ac:dyDescent="0.2">
      <c r="B142" s="5" t="s">
        <v>192</v>
      </c>
      <c r="C142" s="5"/>
    </row>
    <row r="143" spans="2:3" ht="14.4" x14ac:dyDescent="0.2">
      <c r="B143" s="5" t="s">
        <v>193</v>
      </c>
      <c r="C143" s="5"/>
    </row>
    <row r="144" spans="2:3" ht="14.4" x14ac:dyDescent="0.2">
      <c r="B144" s="5"/>
      <c r="C144" s="5"/>
    </row>
    <row r="147" spans="2:2" x14ac:dyDescent="0.2">
      <c r="B147" s="3" t="s">
        <v>194</v>
      </c>
    </row>
    <row r="149" spans="2:2" x14ac:dyDescent="0.2">
      <c r="B149" s="3" t="s">
        <v>137</v>
      </c>
    </row>
    <row r="150" spans="2:2" x14ac:dyDescent="0.2">
      <c r="B150" s="3" t="s">
        <v>195</v>
      </c>
    </row>
    <row r="152" spans="2:2" x14ac:dyDescent="0.2">
      <c r="B152" s="3" t="s">
        <v>138</v>
      </c>
    </row>
    <row r="154" spans="2:2" x14ac:dyDescent="0.2">
      <c r="B154" s="3" t="s">
        <v>245</v>
      </c>
    </row>
    <row r="155" spans="2:2" x14ac:dyDescent="0.2">
      <c r="B155" s="3" t="s">
        <v>196</v>
      </c>
    </row>
    <row r="156" spans="2:2" x14ac:dyDescent="0.2">
      <c r="B156" s="3" t="s">
        <v>246</v>
      </c>
    </row>
    <row r="157" spans="2:2" x14ac:dyDescent="0.2">
      <c r="B157" s="3" t="s">
        <v>197</v>
      </c>
    </row>
    <row r="159" spans="2:2" x14ac:dyDescent="0.2">
      <c r="B159" s="3" t="s">
        <v>121</v>
      </c>
    </row>
    <row r="161" spans="2:2" x14ac:dyDescent="0.2">
      <c r="B161" s="3" t="s">
        <v>198</v>
      </c>
    </row>
    <row r="162" spans="2:2" x14ac:dyDescent="0.2">
      <c r="B162" s="3" t="s">
        <v>199</v>
      </c>
    </row>
    <row r="164" spans="2:2" x14ac:dyDescent="0.2">
      <c r="B164" s="3" t="s">
        <v>139</v>
      </c>
    </row>
    <row r="166" spans="2:2" x14ac:dyDescent="0.2">
      <c r="B166" s="3" t="s">
        <v>200</v>
      </c>
    </row>
    <row r="167" spans="2:2" x14ac:dyDescent="0.2">
      <c r="B167" s="3" t="s">
        <v>201</v>
      </c>
    </row>
    <row r="171" spans="2:2" x14ac:dyDescent="0.2">
      <c r="B171" s="3" t="s">
        <v>202</v>
      </c>
    </row>
    <row r="173" spans="2:2" x14ac:dyDescent="0.2">
      <c r="B173" s="3" t="s">
        <v>137</v>
      </c>
    </row>
    <row r="174" spans="2:2" x14ac:dyDescent="0.2">
      <c r="B174" s="3" t="s">
        <v>203</v>
      </c>
    </row>
    <row r="176" spans="2:2" x14ac:dyDescent="0.2">
      <c r="B176" s="3" t="s">
        <v>138</v>
      </c>
    </row>
    <row r="178" spans="2:2" x14ac:dyDescent="0.2">
      <c r="B178" s="3" t="s">
        <v>247</v>
      </c>
    </row>
    <row r="179" spans="2:2" x14ac:dyDescent="0.2">
      <c r="B179" s="3" t="s">
        <v>204</v>
      </c>
    </row>
    <row r="180" spans="2:2" x14ac:dyDescent="0.2">
      <c r="B180" s="3" t="s">
        <v>205</v>
      </c>
    </row>
    <row r="181" spans="2:2" x14ac:dyDescent="0.2">
      <c r="B181" s="3" t="s">
        <v>206</v>
      </c>
    </row>
    <row r="183" spans="2:2" x14ac:dyDescent="0.2">
      <c r="B183" s="3" t="s">
        <v>121</v>
      </c>
    </row>
    <row r="185" spans="2:2" x14ac:dyDescent="0.2">
      <c r="B185" s="3" t="s">
        <v>248</v>
      </c>
    </row>
    <row r="186" spans="2:2" x14ac:dyDescent="0.2">
      <c r="B186" s="3" t="s">
        <v>207</v>
      </c>
    </row>
    <row r="188" spans="2:2" x14ac:dyDescent="0.2">
      <c r="B188" s="3" t="s">
        <v>139</v>
      </c>
    </row>
    <row r="190" spans="2:2" x14ac:dyDescent="0.2">
      <c r="B190" s="3" t="s">
        <v>208</v>
      </c>
    </row>
    <row r="191" spans="2:2" x14ac:dyDescent="0.2">
      <c r="B191" s="3" t="s">
        <v>209</v>
      </c>
    </row>
    <row r="195" spans="2:2" x14ac:dyDescent="0.2">
      <c r="B195" s="3" t="s">
        <v>210</v>
      </c>
    </row>
    <row r="197" spans="2:2" x14ac:dyDescent="0.2">
      <c r="B197" s="3" t="s">
        <v>211</v>
      </c>
    </row>
    <row r="199" spans="2:2" x14ac:dyDescent="0.2">
      <c r="B199" s="3" t="s">
        <v>212</v>
      </c>
    </row>
    <row r="200" spans="2:2" x14ac:dyDescent="0.2">
      <c r="B200" s="3" t="s">
        <v>249</v>
      </c>
    </row>
    <row r="201" spans="2:2" x14ac:dyDescent="0.2">
      <c r="B201" s="3" t="s">
        <v>213</v>
      </c>
    </row>
    <row r="202" spans="2:2" x14ac:dyDescent="0.2">
      <c r="B202" s="3" t="s">
        <v>214</v>
      </c>
    </row>
    <row r="203" spans="2:2" x14ac:dyDescent="0.2">
      <c r="B203" s="3" t="s">
        <v>215</v>
      </c>
    </row>
    <row r="207" spans="2:2" x14ac:dyDescent="0.2">
      <c r="B207" s="3" t="s">
        <v>216</v>
      </c>
    </row>
    <row r="209" spans="2:2" x14ac:dyDescent="0.2">
      <c r="B209" s="3" t="s">
        <v>217</v>
      </c>
    </row>
    <row r="211" spans="2:2" x14ac:dyDescent="0.2">
      <c r="B211" s="3" t="s">
        <v>218</v>
      </c>
    </row>
    <row r="212" spans="2:2" x14ac:dyDescent="0.2">
      <c r="B212" s="3" t="s">
        <v>219</v>
      </c>
    </row>
    <row r="213" spans="2:2" x14ac:dyDescent="0.2">
      <c r="B213" s="3" t="s">
        <v>220</v>
      </c>
    </row>
    <row r="214" spans="2:2" x14ac:dyDescent="0.2">
      <c r="B214" s="3" t="s">
        <v>221</v>
      </c>
    </row>
    <row r="215" spans="2:2" x14ac:dyDescent="0.2">
      <c r="B215" s="3" t="s">
        <v>222</v>
      </c>
    </row>
    <row r="216" spans="2:2" x14ac:dyDescent="0.2">
      <c r="B216" s="3" t="s">
        <v>223</v>
      </c>
    </row>
    <row r="217" spans="2:2" x14ac:dyDescent="0.2">
      <c r="B217" s="3" t="s">
        <v>224</v>
      </c>
    </row>
    <row r="218" spans="2:2" x14ac:dyDescent="0.2">
      <c r="B218" s="3" t="s">
        <v>225</v>
      </c>
    </row>
    <row r="222" spans="2:2" x14ac:dyDescent="0.2">
      <c r="B222" s="3" t="s">
        <v>226</v>
      </c>
    </row>
    <row r="223" spans="2:2" x14ac:dyDescent="0.2">
      <c r="B223" s="3" t="s">
        <v>250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1A62-090D-4ADA-9EA1-96876AB0139B}">
  <dimension ref="A1:F11"/>
  <sheetViews>
    <sheetView showGridLines="0" workbookViewId="0">
      <selection activeCell="D17" sqref="D17"/>
    </sheetView>
  </sheetViews>
  <sheetFormatPr defaultRowHeight="13.2" x14ac:dyDescent="0.2"/>
  <cols>
    <col min="1" max="1" width="13" bestFit="1" customWidth="1"/>
    <col min="2" max="2" width="11.109375" bestFit="1" customWidth="1"/>
    <col min="3" max="3" width="29.21875" customWidth="1"/>
    <col min="4" max="4" width="62" customWidth="1"/>
    <col min="5" max="5" width="18" customWidth="1"/>
    <col min="6" max="6" width="42" customWidth="1"/>
  </cols>
  <sheetData>
    <row r="1" spans="1:6" ht="15" thickBot="1" x14ac:dyDescent="0.25">
      <c r="A1" s="6" t="s">
        <v>251</v>
      </c>
      <c r="B1" s="6" t="s">
        <v>1</v>
      </c>
      <c r="C1" s="6" t="s">
        <v>2</v>
      </c>
      <c r="D1" s="6" t="s">
        <v>3</v>
      </c>
      <c r="E1" s="6" t="s">
        <v>6</v>
      </c>
      <c r="F1" s="6" t="s">
        <v>7</v>
      </c>
    </row>
    <row r="2" spans="1:6" ht="36" x14ac:dyDescent="0.2">
      <c r="A2" s="7" t="s">
        <v>288</v>
      </c>
      <c r="B2" s="8" t="s">
        <v>9</v>
      </c>
      <c r="C2" s="9" t="s">
        <v>322</v>
      </c>
      <c r="D2" s="7" t="s">
        <v>323</v>
      </c>
      <c r="E2" s="10" t="s">
        <v>90</v>
      </c>
      <c r="F2" s="7" t="s">
        <v>289</v>
      </c>
    </row>
    <row r="3" spans="1:6" ht="31.8" customHeight="1" x14ac:dyDescent="0.2">
      <c r="A3" s="7" t="s">
        <v>290</v>
      </c>
      <c r="B3" s="8" t="s">
        <v>9</v>
      </c>
      <c r="C3" s="7" t="s">
        <v>358</v>
      </c>
      <c r="D3" s="7" t="s">
        <v>357</v>
      </c>
      <c r="E3" s="10" t="s">
        <v>90</v>
      </c>
      <c r="F3" s="7" t="s">
        <v>291</v>
      </c>
    </row>
    <row r="4" spans="1:6" s="15" customFormat="1" ht="26.4" x14ac:dyDescent="0.2">
      <c r="A4" s="12" t="s">
        <v>292</v>
      </c>
      <c r="B4" s="13" t="s">
        <v>9</v>
      </c>
      <c r="C4" s="12" t="s">
        <v>293</v>
      </c>
      <c r="D4" s="12" t="s">
        <v>375</v>
      </c>
      <c r="E4" s="14" t="s">
        <v>14</v>
      </c>
      <c r="F4" s="12" t="s">
        <v>294</v>
      </c>
    </row>
    <row r="5" spans="1:6" ht="26.4" x14ac:dyDescent="0.2">
      <c r="A5" s="7" t="s">
        <v>295</v>
      </c>
      <c r="B5" s="8" t="s">
        <v>9</v>
      </c>
      <c r="C5" s="7" t="s">
        <v>296</v>
      </c>
      <c r="D5" s="7" t="s">
        <v>297</v>
      </c>
      <c r="E5" s="10" t="s">
        <v>14</v>
      </c>
      <c r="F5" s="7" t="s">
        <v>298</v>
      </c>
    </row>
    <row r="6" spans="1:6" ht="26.4" x14ac:dyDescent="0.2">
      <c r="A6" s="7" t="s">
        <v>299</v>
      </c>
      <c r="B6" s="8" t="s">
        <v>9</v>
      </c>
      <c r="C6" s="7" t="s">
        <v>300</v>
      </c>
      <c r="D6" s="7" t="s">
        <v>301</v>
      </c>
      <c r="E6" s="10" t="s">
        <v>14</v>
      </c>
      <c r="F6" s="7" t="s">
        <v>302</v>
      </c>
    </row>
    <row r="7" spans="1:6" ht="26.4" x14ac:dyDescent="0.2">
      <c r="A7" s="7" t="s">
        <v>303</v>
      </c>
      <c r="B7" s="8" t="s">
        <v>9</v>
      </c>
      <c r="C7" s="7" t="s">
        <v>304</v>
      </c>
      <c r="D7" s="7" t="s">
        <v>305</v>
      </c>
      <c r="E7" s="10" t="s">
        <v>14</v>
      </c>
      <c r="F7" s="7" t="s">
        <v>306</v>
      </c>
    </row>
    <row r="8" spans="1:6" ht="26.4" x14ac:dyDescent="0.2">
      <c r="A8" s="7" t="s">
        <v>307</v>
      </c>
      <c r="B8" s="8" t="s">
        <v>9</v>
      </c>
      <c r="C8" s="7" t="s">
        <v>308</v>
      </c>
      <c r="D8" s="7" t="s">
        <v>309</v>
      </c>
      <c r="E8" s="10" t="s">
        <v>14</v>
      </c>
      <c r="F8" s="7" t="s">
        <v>310</v>
      </c>
    </row>
    <row r="9" spans="1:6" ht="26.4" x14ac:dyDescent="0.2">
      <c r="A9" s="7" t="s">
        <v>311</v>
      </c>
      <c r="B9" s="8" t="s">
        <v>9</v>
      </c>
      <c r="C9" s="7" t="s">
        <v>312</v>
      </c>
      <c r="D9" s="7" t="s">
        <v>313</v>
      </c>
      <c r="E9" s="10" t="s">
        <v>14</v>
      </c>
      <c r="F9" s="7" t="s">
        <v>314</v>
      </c>
    </row>
    <row r="10" spans="1:6" x14ac:dyDescent="0.2">
      <c r="A10" s="7" t="s">
        <v>315</v>
      </c>
      <c r="B10" s="8" t="s">
        <v>9</v>
      </c>
      <c r="C10" s="7" t="s">
        <v>316</v>
      </c>
      <c r="D10" s="7" t="s">
        <v>317</v>
      </c>
      <c r="E10" s="10" t="s">
        <v>14</v>
      </c>
      <c r="F10" s="7" t="s">
        <v>318</v>
      </c>
    </row>
    <row r="11" spans="1:6" ht="26.4" x14ac:dyDescent="0.2">
      <c r="A11" s="7" t="s">
        <v>319</v>
      </c>
      <c r="B11" s="8" t="s">
        <v>9</v>
      </c>
      <c r="C11" s="7" t="s">
        <v>264</v>
      </c>
      <c r="D11" s="7" t="s">
        <v>320</v>
      </c>
      <c r="E11" s="10" t="s">
        <v>14</v>
      </c>
      <c r="F11" s="7" t="s">
        <v>321</v>
      </c>
    </row>
  </sheetData>
  <phoneticPr fontId="3"/>
  <dataValidations count="1">
    <dataValidation type="list" sqref="E2:E11" xr:uid="{56E72F42-4C4E-485C-9111-4DFF11268F42}">
      <formula1>"未着手,着手中,レビュー待ち,完了,保留（仕様待ち）,保留（実機フェーズ待ち）"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E9A81-5AF3-493A-BCF0-3315AA02B42F}">
  <dimension ref="A1:G21"/>
  <sheetViews>
    <sheetView workbookViewId="0">
      <selection activeCell="F22" sqref="F21:F22"/>
    </sheetView>
  </sheetViews>
  <sheetFormatPr defaultRowHeight="13.2" x14ac:dyDescent="0.2"/>
  <cols>
    <col min="1" max="1" width="13" style="3" bestFit="1" customWidth="1"/>
    <col min="2" max="2" width="8.88671875" style="3"/>
    <col min="3" max="3" width="29.33203125" style="3" bestFit="1" customWidth="1"/>
    <col min="4" max="4" width="53.21875" style="3" bestFit="1" customWidth="1"/>
    <col min="5" max="5" width="8.88671875" style="3"/>
    <col min="6" max="6" width="24.44140625" style="3" bestFit="1" customWidth="1"/>
    <col min="7" max="7" width="48.33203125" style="4" customWidth="1"/>
    <col min="8" max="16384" width="8.88671875" style="3"/>
  </cols>
  <sheetData>
    <row r="1" spans="1:7" x14ac:dyDescent="0.2">
      <c r="A1" s="3" t="s">
        <v>251</v>
      </c>
      <c r="B1" s="3" t="s">
        <v>1</v>
      </c>
      <c r="C1" s="3" t="s">
        <v>2</v>
      </c>
      <c r="D1" s="3" t="s">
        <v>3</v>
      </c>
      <c r="E1" s="3" t="s">
        <v>6</v>
      </c>
      <c r="F1" s="3" t="s">
        <v>7</v>
      </c>
      <c r="G1" s="4" t="s">
        <v>369</v>
      </c>
    </row>
    <row r="2" spans="1:7" x14ac:dyDescent="0.2">
      <c r="A2" s="3" t="s">
        <v>324</v>
      </c>
      <c r="B2" s="3" t="s">
        <v>9</v>
      </c>
      <c r="C2" s="3" t="s">
        <v>325</v>
      </c>
      <c r="D2" s="3" t="s">
        <v>355</v>
      </c>
      <c r="E2" s="3" t="s">
        <v>14</v>
      </c>
      <c r="F2" s="3" t="s">
        <v>356</v>
      </c>
    </row>
    <row r="3" spans="1:7" x14ac:dyDescent="0.2">
      <c r="A3" s="3" t="s">
        <v>326</v>
      </c>
      <c r="B3" s="3" t="s">
        <v>9</v>
      </c>
      <c r="C3" s="3" t="s">
        <v>327</v>
      </c>
      <c r="D3" s="3" t="s">
        <v>328</v>
      </c>
      <c r="E3" s="3" t="s">
        <v>14</v>
      </c>
      <c r="F3" s="3" t="s">
        <v>329</v>
      </c>
    </row>
    <row r="4" spans="1:7" x14ac:dyDescent="0.2">
      <c r="A4" s="3" t="s">
        <v>330</v>
      </c>
      <c r="B4" s="3" t="s">
        <v>9</v>
      </c>
      <c r="C4" s="3" t="s">
        <v>331</v>
      </c>
      <c r="D4" s="3" t="s">
        <v>332</v>
      </c>
      <c r="E4" s="3" t="s">
        <v>266</v>
      </c>
      <c r="F4" s="3" t="s">
        <v>333</v>
      </c>
    </row>
    <row r="5" spans="1:7" x14ac:dyDescent="0.2">
      <c r="A5" s="3" t="s">
        <v>364</v>
      </c>
      <c r="B5" s="3" t="s">
        <v>9</v>
      </c>
      <c r="C5" s="3" t="s">
        <v>334</v>
      </c>
      <c r="D5" s="3" t="s">
        <v>365</v>
      </c>
      <c r="E5" s="3" t="s">
        <v>266</v>
      </c>
      <c r="F5" s="3" t="s">
        <v>335</v>
      </c>
    </row>
    <row r="6" spans="1:7" ht="52.8" x14ac:dyDescent="0.2">
      <c r="A6" s="3" t="s">
        <v>362</v>
      </c>
      <c r="B6" s="3" t="s">
        <v>9</v>
      </c>
      <c r="C6" s="3" t="s">
        <v>367</v>
      </c>
      <c r="D6" s="3" t="s">
        <v>363</v>
      </c>
      <c r="E6" s="3" t="s">
        <v>266</v>
      </c>
      <c r="F6" s="3" t="s">
        <v>336</v>
      </c>
      <c r="G6" s="4" t="s">
        <v>366</v>
      </c>
    </row>
    <row r="7" spans="1:7" ht="105.6" x14ac:dyDescent="0.2">
      <c r="G7" s="4" t="s">
        <v>368</v>
      </c>
    </row>
    <row r="8" spans="1:7" ht="52.8" x14ac:dyDescent="0.2">
      <c r="A8" s="3" t="s">
        <v>337</v>
      </c>
      <c r="B8" s="3" t="s">
        <v>9</v>
      </c>
      <c r="C8" s="3" t="s">
        <v>338</v>
      </c>
      <c r="D8" s="3" t="s">
        <v>339</v>
      </c>
      <c r="E8" s="3" t="s">
        <v>266</v>
      </c>
      <c r="F8" s="3" t="s">
        <v>340</v>
      </c>
      <c r="G8" s="4" t="s">
        <v>372</v>
      </c>
    </row>
    <row r="9" spans="1:7" x14ac:dyDescent="0.2">
      <c r="A9" s="3" t="s">
        <v>370</v>
      </c>
      <c r="B9" s="3" t="s">
        <v>9</v>
      </c>
      <c r="C9" s="3" t="s">
        <v>371</v>
      </c>
      <c r="D9" s="3" t="s">
        <v>341</v>
      </c>
      <c r="E9" s="3" t="s">
        <v>266</v>
      </c>
      <c r="F9" s="3" t="s">
        <v>342</v>
      </c>
    </row>
    <row r="10" spans="1:7" x14ac:dyDescent="0.2">
      <c r="A10" s="3" t="s">
        <v>343</v>
      </c>
      <c r="B10" s="3" t="s">
        <v>9</v>
      </c>
      <c r="C10" s="3" t="s">
        <v>344</v>
      </c>
      <c r="D10" s="3" t="s">
        <v>345</v>
      </c>
      <c r="E10" s="3" t="s">
        <v>266</v>
      </c>
      <c r="F10" s="3" t="s">
        <v>346</v>
      </c>
    </row>
    <row r="11" spans="1:7" x14ac:dyDescent="0.2">
      <c r="A11" s="3" t="s">
        <v>347</v>
      </c>
      <c r="B11" s="3" t="s">
        <v>9</v>
      </c>
      <c r="C11" s="3" t="s">
        <v>348</v>
      </c>
      <c r="D11" s="3" t="s">
        <v>349</v>
      </c>
      <c r="E11" s="3" t="s">
        <v>266</v>
      </c>
      <c r="F11" s="3" t="s">
        <v>350</v>
      </c>
    </row>
    <row r="12" spans="1:7" ht="237.6" x14ac:dyDescent="0.2">
      <c r="A12" s="3" t="s">
        <v>351</v>
      </c>
      <c r="B12" s="3" t="s">
        <v>9</v>
      </c>
      <c r="C12" s="3" t="s">
        <v>352</v>
      </c>
      <c r="D12" s="3" t="s">
        <v>353</v>
      </c>
      <c r="E12" s="3" t="s">
        <v>266</v>
      </c>
      <c r="F12" s="3" t="s">
        <v>354</v>
      </c>
      <c r="G12" s="4" t="s">
        <v>373</v>
      </c>
    </row>
    <row r="21" spans="7:7" ht="229.8" customHeight="1" x14ac:dyDescent="0.2">
      <c r="G21" s="4" t="s">
        <v>374</v>
      </c>
    </row>
  </sheetData>
  <phoneticPr fontId="3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2571A-B77F-4544-83A4-8DB98569E5E1}">
  <dimension ref="A2:J53"/>
  <sheetViews>
    <sheetView topLeftCell="A19" workbookViewId="0">
      <selection activeCell="K16" sqref="K16"/>
    </sheetView>
  </sheetViews>
  <sheetFormatPr defaultRowHeight="10.8" x14ac:dyDescent="0.2"/>
  <cols>
    <col min="1" max="1" width="11.33203125" style="19" bestFit="1" customWidth="1"/>
    <col min="2" max="2" width="7.77734375" style="19" bestFit="1" customWidth="1"/>
    <col min="3" max="3" width="12.5546875" style="19" bestFit="1" customWidth="1"/>
    <col min="4" max="4" width="27.44140625" style="19" bestFit="1" customWidth="1"/>
    <col min="5" max="5" width="16.6640625" style="19" bestFit="1" customWidth="1"/>
    <col min="6" max="6" width="18.44140625" style="19" bestFit="1" customWidth="1"/>
    <col min="7" max="7" width="29" style="19" bestFit="1" customWidth="1"/>
    <col min="8" max="9" width="6.6640625" style="19" bestFit="1" customWidth="1"/>
    <col min="10" max="10" width="39.5546875" style="19" customWidth="1"/>
    <col min="11" max="16384" width="8.88671875" style="19"/>
  </cols>
  <sheetData>
    <row r="2" spans="1:10" x14ac:dyDescent="0.2">
      <c r="A2" s="18" t="s">
        <v>0</v>
      </c>
      <c r="B2" s="18" t="s">
        <v>1</v>
      </c>
      <c r="C2" s="18" t="s">
        <v>376</v>
      </c>
      <c r="D2" s="18" t="s">
        <v>3</v>
      </c>
      <c r="E2" s="18" t="s">
        <v>377</v>
      </c>
      <c r="F2" s="18" t="s">
        <v>121</v>
      </c>
      <c r="G2" s="18" t="s">
        <v>139</v>
      </c>
      <c r="H2" s="18" t="s">
        <v>378</v>
      </c>
      <c r="I2" s="18" t="s">
        <v>6</v>
      </c>
      <c r="J2" s="18" t="s">
        <v>7</v>
      </c>
    </row>
    <row r="3" spans="1:10" x14ac:dyDescent="0.2">
      <c r="A3" s="19" t="s">
        <v>379</v>
      </c>
      <c r="B3" s="19" t="s">
        <v>292</v>
      </c>
      <c r="C3" s="19" t="s">
        <v>380</v>
      </c>
      <c r="D3" s="19" t="s">
        <v>381</v>
      </c>
      <c r="E3" s="19" t="s">
        <v>382</v>
      </c>
      <c r="F3" s="19" t="s">
        <v>383</v>
      </c>
      <c r="G3" s="19" t="s">
        <v>384</v>
      </c>
      <c r="H3" s="19" t="s">
        <v>29</v>
      </c>
      <c r="I3" s="19" t="s">
        <v>519</v>
      </c>
    </row>
    <row r="4" spans="1:10" x14ac:dyDescent="0.2">
      <c r="A4" s="19" t="s">
        <v>385</v>
      </c>
      <c r="B4" s="19" t="s">
        <v>292</v>
      </c>
      <c r="C4" s="19" t="s">
        <v>380</v>
      </c>
      <c r="D4" s="19" t="s">
        <v>386</v>
      </c>
      <c r="E4" s="19" t="s">
        <v>387</v>
      </c>
      <c r="F4" s="19" t="s">
        <v>388</v>
      </c>
      <c r="G4" s="19" t="s">
        <v>389</v>
      </c>
      <c r="H4" s="19" t="s">
        <v>29</v>
      </c>
      <c r="I4" s="19" t="s">
        <v>14</v>
      </c>
    </row>
    <row r="5" spans="1:10" x14ac:dyDescent="0.2">
      <c r="A5" s="19" t="s">
        <v>390</v>
      </c>
      <c r="B5" s="19" t="s">
        <v>292</v>
      </c>
      <c r="C5" s="19" t="s">
        <v>380</v>
      </c>
      <c r="D5" s="19" t="s">
        <v>391</v>
      </c>
      <c r="E5" s="19" t="s">
        <v>392</v>
      </c>
      <c r="F5" s="19" t="s">
        <v>393</v>
      </c>
      <c r="G5" s="19" t="s">
        <v>394</v>
      </c>
      <c r="H5" s="19" t="s">
        <v>29</v>
      </c>
      <c r="I5" s="19" t="s">
        <v>520</v>
      </c>
    </row>
    <row r="6" spans="1:10" x14ac:dyDescent="0.2">
      <c r="A6" s="19" t="s">
        <v>395</v>
      </c>
      <c r="B6" s="19" t="s">
        <v>292</v>
      </c>
      <c r="C6" s="19" t="s">
        <v>380</v>
      </c>
      <c r="D6" s="19" t="s">
        <v>396</v>
      </c>
      <c r="E6" s="19" t="s">
        <v>397</v>
      </c>
      <c r="F6" s="19" t="s">
        <v>398</v>
      </c>
      <c r="G6" s="19" t="s">
        <v>399</v>
      </c>
      <c r="H6" s="19" t="s">
        <v>29</v>
      </c>
      <c r="I6" s="19" t="s">
        <v>14</v>
      </c>
    </row>
    <row r="7" spans="1:10" x14ac:dyDescent="0.2">
      <c r="A7" s="19" t="s">
        <v>400</v>
      </c>
      <c r="B7" s="19" t="s">
        <v>292</v>
      </c>
      <c r="C7" s="19" t="s">
        <v>380</v>
      </c>
      <c r="D7" s="19" t="s">
        <v>401</v>
      </c>
      <c r="E7" s="19" t="s">
        <v>392</v>
      </c>
      <c r="F7" s="19" t="s">
        <v>402</v>
      </c>
      <c r="G7" s="19" t="s">
        <v>403</v>
      </c>
      <c r="H7" s="19" t="s">
        <v>40</v>
      </c>
      <c r="I7" s="19" t="s">
        <v>520</v>
      </c>
    </row>
    <row r="8" spans="1:10" x14ac:dyDescent="0.2">
      <c r="A8" s="19" t="s">
        <v>404</v>
      </c>
      <c r="B8" s="19" t="s">
        <v>292</v>
      </c>
      <c r="C8" s="19" t="s">
        <v>380</v>
      </c>
      <c r="D8" s="19" t="s">
        <v>405</v>
      </c>
      <c r="E8" s="19" t="s">
        <v>406</v>
      </c>
      <c r="F8" s="19" t="s">
        <v>407</v>
      </c>
      <c r="G8" s="19" t="s">
        <v>408</v>
      </c>
      <c r="H8" s="19" t="s">
        <v>29</v>
      </c>
      <c r="I8" s="19" t="s">
        <v>14</v>
      </c>
    </row>
    <row r="9" spans="1:10" x14ac:dyDescent="0.2">
      <c r="A9" s="19" t="s">
        <v>409</v>
      </c>
      <c r="B9" s="19" t="s">
        <v>292</v>
      </c>
      <c r="C9" s="19" t="s">
        <v>380</v>
      </c>
      <c r="D9" s="19" t="s">
        <v>410</v>
      </c>
      <c r="E9" s="19" t="s">
        <v>397</v>
      </c>
      <c r="F9" s="19" t="s">
        <v>411</v>
      </c>
      <c r="G9" s="19" t="s">
        <v>412</v>
      </c>
      <c r="H9" s="19" t="s">
        <v>40</v>
      </c>
      <c r="I9" s="19" t="s">
        <v>14</v>
      </c>
    </row>
    <row r="10" spans="1:10" x14ac:dyDescent="0.2">
      <c r="A10" s="19" t="s">
        <v>413</v>
      </c>
      <c r="B10" s="19" t="s">
        <v>292</v>
      </c>
      <c r="C10" s="19" t="s">
        <v>380</v>
      </c>
      <c r="D10" s="19" t="s">
        <v>414</v>
      </c>
      <c r="E10" s="19" t="s">
        <v>415</v>
      </c>
      <c r="F10" s="19" t="s">
        <v>416</v>
      </c>
      <c r="G10" s="19" t="s">
        <v>417</v>
      </c>
      <c r="H10" s="19" t="s">
        <v>29</v>
      </c>
      <c r="I10" s="19" t="s">
        <v>14</v>
      </c>
    </row>
    <row r="12" spans="1:10" x14ac:dyDescent="0.2">
      <c r="A12" s="19" t="s">
        <v>418</v>
      </c>
      <c r="B12" s="19" t="s">
        <v>292</v>
      </c>
      <c r="C12" s="19" t="s">
        <v>419</v>
      </c>
      <c r="D12" s="19" t="s">
        <v>381</v>
      </c>
      <c r="E12" s="19" t="s">
        <v>382</v>
      </c>
      <c r="F12" s="19" t="s">
        <v>383</v>
      </c>
      <c r="G12" s="19" t="s">
        <v>420</v>
      </c>
      <c r="H12" s="19" t="s">
        <v>29</v>
      </c>
      <c r="I12" s="19" t="s">
        <v>14</v>
      </c>
    </row>
    <row r="13" spans="1:10" x14ac:dyDescent="0.2">
      <c r="A13" s="19" t="s">
        <v>421</v>
      </c>
      <c r="B13" s="19" t="s">
        <v>292</v>
      </c>
      <c r="C13" s="19" t="s">
        <v>419</v>
      </c>
      <c r="D13" s="19" t="s">
        <v>422</v>
      </c>
      <c r="E13" s="19" t="s">
        <v>387</v>
      </c>
      <c r="F13" s="19" t="s">
        <v>388</v>
      </c>
      <c r="G13" s="19" t="s">
        <v>423</v>
      </c>
      <c r="H13" s="19" t="s">
        <v>29</v>
      </c>
      <c r="I13" s="19" t="s">
        <v>14</v>
      </c>
    </row>
    <row r="14" spans="1:10" x14ac:dyDescent="0.2">
      <c r="A14" s="19" t="s">
        <v>424</v>
      </c>
      <c r="B14" s="19" t="s">
        <v>292</v>
      </c>
      <c r="C14" s="19" t="s">
        <v>419</v>
      </c>
      <c r="D14" s="19" t="s">
        <v>425</v>
      </c>
      <c r="E14" s="19" t="s">
        <v>392</v>
      </c>
      <c r="F14" s="19" t="s">
        <v>426</v>
      </c>
      <c r="G14" s="19" t="s">
        <v>427</v>
      </c>
      <c r="H14" s="19" t="s">
        <v>29</v>
      </c>
      <c r="I14" s="19" t="s">
        <v>14</v>
      </c>
    </row>
    <row r="15" spans="1:10" x14ac:dyDescent="0.2">
      <c r="A15" s="19" t="s">
        <v>428</v>
      </c>
      <c r="B15" s="19" t="s">
        <v>292</v>
      </c>
      <c r="C15" s="19" t="s">
        <v>419</v>
      </c>
      <c r="D15" s="19" t="s">
        <v>429</v>
      </c>
      <c r="E15" s="19" t="s">
        <v>392</v>
      </c>
      <c r="F15" s="19" t="s">
        <v>430</v>
      </c>
      <c r="G15" s="19" t="s">
        <v>431</v>
      </c>
      <c r="H15" s="19" t="s">
        <v>40</v>
      </c>
      <c r="I15" s="19" t="s">
        <v>14</v>
      </c>
    </row>
    <row r="16" spans="1:10" x14ac:dyDescent="0.2">
      <c r="A16" s="19" t="s">
        <v>432</v>
      </c>
      <c r="B16" s="19" t="s">
        <v>292</v>
      </c>
      <c r="C16" s="19" t="s">
        <v>419</v>
      </c>
      <c r="D16" s="19" t="s">
        <v>433</v>
      </c>
      <c r="E16" s="19" t="s">
        <v>406</v>
      </c>
      <c r="F16" s="19" t="s">
        <v>434</v>
      </c>
      <c r="G16" s="19" t="s">
        <v>435</v>
      </c>
      <c r="H16" s="19" t="s">
        <v>29</v>
      </c>
      <c r="I16" s="19" t="s">
        <v>14</v>
      </c>
    </row>
    <row r="17" spans="1:9" x14ac:dyDescent="0.2">
      <c r="A17" s="19" t="s">
        <v>436</v>
      </c>
      <c r="B17" s="19" t="s">
        <v>292</v>
      </c>
      <c r="C17" s="19" t="s">
        <v>419</v>
      </c>
      <c r="D17" s="19" t="s">
        <v>437</v>
      </c>
      <c r="E17" s="19" t="s">
        <v>397</v>
      </c>
      <c r="F17" s="19" t="s">
        <v>438</v>
      </c>
      <c r="G17" s="19" t="s">
        <v>439</v>
      </c>
      <c r="H17" s="19" t="s">
        <v>40</v>
      </c>
      <c r="I17" s="19" t="s">
        <v>14</v>
      </c>
    </row>
    <row r="18" spans="1:9" x14ac:dyDescent="0.2">
      <c r="A18" s="19" t="s">
        <v>440</v>
      </c>
      <c r="B18" s="19" t="s">
        <v>292</v>
      </c>
      <c r="C18" s="19" t="s">
        <v>419</v>
      </c>
      <c r="D18" s="19" t="s">
        <v>441</v>
      </c>
      <c r="E18" s="19" t="s">
        <v>415</v>
      </c>
      <c r="F18" s="19" t="s">
        <v>416</v>
      </c>
      <c r="G18" s="19" t="s">
        <v>442</v>
      </c>
      <c r="H18" s="19" t="s">
        <v>29</v>
      </c>
      <c r="I18" s="19" t="s">
        <v>14</v>
      </c>
    </row>
    <row r="20" spans="1:9" x14ac:dyDescent="0.2">
      <c r="A20" s="19" t="s">
        <v>443</v>
      </c>
      <c r="B20" s="19" t="s">
        <v>292</v>
      </c>
      <c r="C20" s="19" t="s">
        <v>444</v>
      </c>
      <c r="D20" s="19" t="s">
        <v>381</v>
      </c>
      <c r="E20" s="19" t="s">
        <v>382</v>
      </c>
      <c r="F20" s="19" t="s">
        <v>383</v>
      </c>
      <c r="G20" s="19" t="s">
        <v>420</v>
      </c>
      <c r="H20" s="19" t="s">
        <v>29</v>
      </c>
      <c r="I20" s="19" t="s">
        <v>14</v>
      </c>
    </row>
    <row r="21" spans="1:9" x14ac:dyDescent="0.2">
      <c r="A21" s="19" t="s">
        <v>445</v>
      </c>
      <c r="B21" s="19" t="s">
        <v>292</v>
      </c>
      <c r="C21" s="19" t="s">
        <v>444</v>
      </c>
      <c r="D21" s="19" t="s">
        <v>446</v>
      </c>
      <c r="E21" s="19" t="s">
        <v>392</v>
      </c>
      <c r="F21" s="19" t="s">
        <v>430</v>
      </c>
      <c r="G21" s="19" t="s">
        <v>427</v>
      </c>
      <c r="H21" s="19" t="s">
        <v>29</v>
      </c>
      <c r="I21" s="19" t="s">
        <v>14</v>
      </c>
    </row>
    <row r="22" spans="1:9" x14ac:dyDescent="0.2">
      <c r="A22" s="19" t="s">
        <v>447</v>
      </c>
      <c r="B22" s="19" t="s">
        <v>292</v>
      </c>
      <c r="C22" s="19" t="s">
        <v>444</v>
      </c>
      <c r="D22" s="19" t="s">
        <v>448</v>
      </c>
      <c r="E22" s="19" t="s">
        <v>449</v>
      </c>
      <c r="F22" s="19" t="s">
        <v>450</v>
      </c>
      <c r="G22" s="19" t="s">
        <v>451</v>
      </c>
      <c r="H22" s="19" t="s">
        <v>29</v>
      </c>
      <c r="I22" s="19" t="s">
        <v>14</v>
      </c>
    </row>
    <row r="23" spans="1:9" x14ac:dyDescent="0.2">
      <c r="A23" s="19" t="s">
        <v>452</v>
      </c>
      <c r="B23" s="19" t="s">
        <v>292</v>
      </c>
      <c r="C23" s="19" t="s">
        <v>444</v>
      </c>
      <c r="D23" s="19" t="s">
        <v>453</v>
      </c>
      <c r="E23" s="19" t="s">
        <v>392</v>
      </c>
      <c r="F23" s="19" t="s">
        <v>454</v>
      </c>
      <c r="G23" s="19" t="s">
        <v>455</v>
      </c>
      <c r="H23" s="19" t="s">
        <v>40</v>
      </c>
      <c r="I23" s="19" t="s">
        <v>14</v>
      </c>
    </row>
    <row r="24" spans="1:9" x14ac:dyDescent="0.2">
      <c r="A24" s="19" t="s">
        <v>456</v>
      </c>
      <c r="B24" s="19" t="s">
        <v>292</v>
      </c>
      <c r="C24" s="19" t="s">
        <v>444</v>
      </c>
      <c r="D24" s="19" t="s">
        <v>457</v>
      </c>
      <c r="E24" s="19" t="s">
        <v>397</v>
      </c>
      <c r="F24" s="19" t="s">
        <v>411</v>
      </c>
      <c r="G24" s="19" t="s">
        <v>458</v>
      </c>
      <c r="H24" s="19" t="s">
        <v>40</v>
      </c>
      <c r="I24" s="19" t="s">
        <v>14</v>
      </c>
    </row>
    <row r="25" spans="1:9" x14ac:dyDescent="0.2">
      <c r="A25" s="19" t="s">
        <v>459</v>
      </c>
      <c r="B25" s="19" t="s">
        <v>292</v>
      </c>
      <c r="C25" s="19" t="s">
        <v>444</v>
      </c>
      <c r="D25" s="19" t="s">
        <v>441</v>
      </c>
      <c r="E25" s="19" t="s">
        <v>415</v>
      </c>
      <c r="F25" s="19" t="s">
        <v>416</v>
      </c>
      <c r="G25" s="19" t="s">
        <v>442</v>
      </c>
      <c r="H25" s="19" t="s">
        <v>29</v>
      </c>
      <c r="I25" s="19" t="s">
        <v>14</v>
      </c>
    </row>
    <row r="27" spans="1:9" x14ac:dyDescent="0.2">
      <c r="A27" s="19" t="s">
        <v>460</v>
      </c>
      <c r="B27" s="19" t="s">
        <v>292</v>
      </c>
      <c r="C27" s="19" t="s">
        <v>461</v>
      </c>
      <c r="D27" s="19" t="s">
        <v>381</v>
      </c>
      <c r="E27" s="19" t="s">
        <v>382</v>
      </c>
      <c r="F27" s="19" t="s">
        <v>383</v>
      </c>
      <c r="G27" s="19" t="s">
        <v>420</v>
      </c>
      <c r="H27" s="19" t="s">
        <v>40</v>
      </c>
      <c r="I27" s="19" t="s">
        <v>14</v>
      </c>
    </row>
    <row r="28" spans="1:9" x14ac:dyDescent="0.2">
      <c r="A28" s="19" t="s">
        <v>462</v>
      </c>
      <c r="B28" s="19" t="s">
        <v>292</v>
      </c>
      <c r="C28" s="19" t="s">
        <v>461</v>
      </c>
      <c r="D28" s="19" t="s">
        <v>463</v>
      </c>
      <c r="E28" s="19" t="s">
        <v>392</v>
      </c>
      <c r="F28" s="19" t="s">
        <v>430</v>
      </c>
      <c r="G28" s="19" t="s">
        <v>427</v>
      </c>
      <c r="H28" s="19" t="s">
        <v>40</v>
      </c>
      <c r="I28" s="19" t="s">
        <v>14</v>
      </c>
    </row>
    <row r="29" spans="1:9" x14ac:dyDescent="0.2">
      <c r="A29" s="19" t="s">
        <v>464</v>
      </c>
      <c r="B29" s="19" t="s">
        <v>292</v>
      </c>
      <c r="C29" s="19" t="s">
        <v>461</v>
      </c>
      <c r="D29" s="19" t="s">
        <v>465</v>
      </c>
      <c r="E29" s="19" t="s">
        <v>392</v>
      </c>
      <c r="F29" s="19" t="s">
        <v>466</v>
      </c>
      <c r="G29" s="19" t="s">
        <v>431</v>
      </c>
      <c r="H29" s="19" t="s">
        <v>40</v>
      </c>
      <c r="I29" s="19" t="s">
        <v>14</v>
      </c>
    </row>
    <row r="30" spans="1:9" x14ac:dyDescent="0.2">
      <c r="A30" s="19" t="s">
        <v>467</v>
      </c>
      <c r="B30" s="19" t="s">
        <v>292</v>
      </c>
      <c r="C30" s="19" t="s">
        <v>461</v>
      </c>
      <c r="D30" s="19" t="s">
        <v>468</v>
      </c>
      <c r="E30" s="19" t="s">
        <v>397</v>
      </c>
      <c r="F30" s="19" t="s">
        <v>438</v>
      </c>
      <c r="G30" s="19" t="s">
        <v>469</v>
      </c>
      <c r="H30" s="19" t="s">
        <v>13</v>
      </c>
      <c r="I30" s="19" t="s">
        <v>14</v>
      </c>
    </row>
    <row r="31" spans="1:9" x14ac:dyDescent="0.2">
      <c r="A31" s="19" t="s">
        <v>470</v>
      </c>
      <c r="B31" s="19" t="s">
        <v>292</v>
      </c>
      <c r="C31" s="19" t="s">
        <v>461</v>
      </c>
      <c r="D31" s="19" t="s">
        <v>441</v>
      </c>
      <c r="E31" s="19" t="s">
        <v>415</v>
      </c>
      <c r="F31" s="19" t="s">
        <v>416</v>
      </c>
      <c r="G31" s="19" t="s">
        <v>442</v>
      </c>
      <c r="H31" s="19" t="s">
        <v>40</v>
      </c>
      <c r="I31" s="19" t="s">
        <v>14</v>
      </c>
    </row>
    <row r="33" spans="1:9" x14ac:dyDescent="0.2">
      <c r="A33" s="19" t="s">
        <v>471</v>
      </c>
      <c r="B33" s="19" t="s">
        <v>292</v>
      </c>
      <c r="C33" s="19" t="s">
        <v>472</v>
      </c>
      <c r="D33" s="19" t="s">
        <v>473</v>
      </c>
      <c r="E33" s="19" t="s">
        <v>382</v>
      </c>
      <c r="F33" s="19" t="s">
        <v>426</v>
      </c>
      <c r="G33" s="19" t="s">
        <v>420</v>
      </c>
      <c r="H33" s="19" t="s">
        <v>40</v>
      </c>
      <c r="I33" s="19" t="s">
        <v>14</v>
      </c>
    </row>
    <row r="34" spans="1:9" x14ac:dyDescent="0.2">
      <c r="A34" s="19" t="s">
        <v>474</v>
      </c>
      <c r="B34" s="19" t="s">
        <v>292</v>
      </c>
      <c r="C34" s="19" t="s">
        <v>472</v>
      </c>
      <c r="D34" s="19" t="s">
        <v>475</v>
      </c>
      <c r="E34" s="19" t="s">
        <v>387</v>
      </c>
      <c r="F34" s="19" t="s">
        <v>476</v>
      </c>
      <c r="G34" s="19" t="s">
        <v>423</v>
      </c>
      <c r="H34" s="19" t="s">
        <v>40</v>
      </c>
      <c r="I34" s="19" t="s">
        <v>14</v>
      </c>
    </row>
    <row r="35" spans="1:9" x14ac:dyDescent="0.2">
      <c r="A35" s="19" t="s">
        <v>477</v>
      </c>
      <c r="B35" s="19" t="s">
        <v>292</v>
      </c>
      <c r="C35" s="19" t="s">
        <v>472</v>
      </c>
      <c r="D35" s="19" t="s">
        <v>478</v>
      </c>
      <c r="E35" s="19" t="s">
        <v>392</v>
      </c>
      <c r="F35" s="19" t="s">
        <v>430</v>
      </c>
      <c r="G35" s="19" t="s">
        <v>427</v>
      </c>
      <c r="H35" s="19" t="s">
        <v>40</v>
      </c>
      <c r="I35" s="19" t="s">
        <v>14</v>
      </c>
    </row>
    <row r="36" spans="1:9" x14ac:dyDescent="0.2">
      <c r="A36" s="19" t="s">
        <v>479</v>
      </c>
      <c r="B36" s="19" t="s">
        <v>292</v>
      </c>
      <c r="C36" s="19" t="s">
        <v>472</v>
      </c>
      <c r="D36" s="19" t="s">
        <v>433</v>
      </c>
      <c r="E36" s="19" t="s">
        <v>406</v>
      </c>
      <c r="F36" s="19" t="s">
        <v>480</v>
      </c>
      <c r="G36" s="19" t="s">
        <v>481</v>
      </c>
      <c r="H36" s="19" t="s">
        <v>40</v>
      </c>
      <c r="I36" s="19" t="s">
        <v>14</v>
      </c>
    </row>
    <row r="37" spans="1:9" x14ac:dyDescent="0.2">
      <c r="A37" s="19" t="s">
        <v>482</v>
      </c>
      <c r="B37" s="19" t="s">
        <v>292</v>
      </c>
      <c r="C37" s="19" t="s">
        <v>472</v>
      </c>
      <c r="D37" s="19" t="s">
        <v>441</v>
      </c>
      <c r="E37" s="19" t="s">
        <v>415</v>
      </c>
      <c r="F37" s="19" t="s">
        <v>416</v>
      </c>
      <c r="G37" s="19" t="s">
        <v>442</v>
      </c>
      <c r="H37" s="19" t="s">
        <v>40</v>
      </c>
      <c r="I37" s="19" t="s">
        <v>14</v>
      </c>
    </row>
    <row r="39" spans="1:9" x14ac:dyDescent="0.2">
      <c r="A39" s="19" t="s">
        <v>483</v>
      </c>
      <c r="B39" s="19" t="s">
        <v>292</v>
      </c>
      <c r="C39" s="19" t="s">
        <v>484</v>
      </c>
      <c r="D39" s="19" t="s">
        <v>473</v>
      </c>
      <c r="E39" s="19" t="s">
        <v>382</v>
      </c>
      <c r="F39" s="19" t="s">
        <v>426</v>
      </c>
      <c r="G39" s="19" t="s">
        <v>420</v>
      </c>
      <c r="H39" s="19" t="s">
        <v>40</v>
      </c>
      <c r="I39" s="19" t="s">
        <v>14</v>
      </c>
    </row>
    <row r="40" spans="1:9" x14ac:dyDescent="0.2">
      <c r="A40" s="19" t="s">
        <v>485</v>
      </c>
      <c r="B40" s="19" t="s">
        <v>292</v>
      </c>
      <c r="C40" s="19" t="s">
        <v>484</v>
      </c>
      <c r="D40" s="19" t="s">
        <v>475</v>
      </c>
      <c r="E40" s="19" t="s">
        <v>387</v>
      </c>
      <c r="F40" s="19" t="s">
        <v>476</v>
      </c>
      <c r="G40" s="19" t="s">
        <v>423</v>
      </c>
      <c r="H40" s="19" t="s">
        <v>40</v>
      </c>
      <c r="I40" s="19" t="s">
        <v>14</v>
      </c>
    </row>
    <row r="41" spans="1:9" x14ac:dyDescent="0.2">
      <c r="A41" s="19" t="s">
        <v>486</v>
      </c>
      <c r="B41" s="19" t="s">
        <v>292</v>
      </c>
      <c r="C41" s="19" t="s">
        <v>484</v>
      </c>
      <c r="D41" s="19" t="s">
        <v>478</v>
      </c>
      <c r="E41" s="19" t="s">
        <v>392</v>
      </c>
      <c r="F41" s="19" t="s">
        <v>430</v>
      </c>
      <c r="G41" s="19" t="s">
        <v>427</v>
      </c>
      <c r="H41" s="19" t="s">
        <v>40</v>
      </c>
      <c r="I41" s="19" t="s">
        <v>14</v>
      </c>
    </row>
    <row r="42" spans="1:9" x14ac:dyDescent="0.2">
      <c r="A42" s="19" t="s">
        <v>487</v>
      </c>
      <c r="B42" s="19" t="s">
        <v>292</v>
      </c>
      <c r="C42" s="19" t="s">
        <v>484</v>
      </c>
      <c r="D42" s="19" t="s">
        <v>433</v>
      </c>
      <c r="E42" s="19" t="s">
        <v>406</v>
      </c>
      <c r="F42" s="19" t="s">
        <v>480</v>
      </c>
      <c r="G42" s="19" t="s">
        <v>481</v>
      </c>
      <c r="H42" s="19" t="s">
        <v>40</v>
      </c>
      <c r="I42" s="19" t="s">
        <v>14</v>
      </c>
    </row>
    <row r="43" spans="1:9" x14ac:dyDescent="0.2">
      <c r="A43" s="19" t="s">
        <v>488</v>
      </c>
      <c r="B43" s="19" t="s">
        <v>292</v>
      </c>
      <c r="C43" s="19" t="s">
        <v>484</v>
      </c>
      <c r="D43" s="19" t="s">
        <v>441</v>
      </c>
      <c r="E43" s="19" t="s">
        <v>415</v>
      </c>
      <c r="F43" s="19" t="s">
        <v>416</v>
      </c>
      <c r="G43" s="19" t="s">
        <v>442</v>
      </c>
      <c r="H43" s="19" t="s">
        <v>40</v>
      </c>
      <c r="I43" s="19" t="s">
        <v>14</v>
      </c>
    </row>
    <row r="45" spans="1:9" x14ac:dyDescent="0.2">
      <c r="A45" s="19" t="s">
        <v>489</v>
      </c>
      <c r="B45" s="19" t="s">
        <v>292</v>
      </c>
      <c r="C45" s="19" t="s">
        <v>490</v>
      </c>
      <c r="D45" s="19" t="s">
        <v>491</v>
      </c>
      <c r="E45" s="19" t="s">
        <v>492</v>
      </c>
      <c r="F45" s="19" t="s">
        <v>493</v>
      </c>
      <c r="G45" s="19" t="s">
        <v>494</v>
      </c>
      <c r="H45" s="19" t="s">
        <v>40</v>
      </c>
      <c r="I45" s="19" t="s">
        <v>14</v>
      </c>
    </row>
    <row r="46" spans="1:9" x14ac:dyDescent="0.2">
      <c r="A46" s="19" t="s">
        <v>495</v>
      </c>
      <c r="B46" s="19" t="s">
        <v>292</v>
      </c>
      <c r="C46" s="19" t="s">
        <v>490</v>
      </c>
      <c r="D46" s="19" t="s">
        <v>496</v>
      </c>
      <c r="E46" s="19" t="s">
        <v>392</v>
      </c>
      <c r="F46" s="19" t="s">
        <v>497</v>
      </c>
      <c r="G46" s="19" t="s">
        <v>498</v>
      </c>
      <c r="H46" s="19" t="s">
        <v>40</v>
      </c>
      <c r="I46" s="19" t="s">
        <v>14</v>
      </c>
    </row>
    <row r="47" spans="1:9" x14ac:dyDescent="0.2">
      <c r="A47" s="19" t="s">
        <v>499</v>
      </c>
      <c r="B47" s="19" t="s">
        <v>292</v>
      </c>
      <c r="C47" s="19" t="s">
        <v>490</v>
      </c>
      <c r="D47" s="19" t="s">
        <v>500</v>
      </c>
      <c r="E47" s="19" t="s">
        <v>406</v>
      </c>
      <c r="F47" s="19" t="s">
        <v>501</v>
      </c>
      <c r="G47" s="19" t="s">
        <v>502</v>
      </c>
      <c r="H47" s="19" t="s">
        <v>40</v>
      </c>
      <c r="I47" s="19" t="s">
        <v>14</v>
      </c>
    </row>
    <row r="48" spans="1:9" x14ac:dyDescent="0.2">
      <c r="A48" s="19" t="s">
        <v>503</v>
      </c>
      <c r="B48" s="19" t="s">
        <v>292</v>
      </c>
      <c r="C48" s="19" t="s">
        <v>490</v>
      </c>
      <c r="D48" s="19" t="s">
        <v>504</v>
      </c>
      <c r="E48" s="19" t="s">
        <v>392</v>
      </c>
      <c r="F48" s="19" t="s">
        <v>505</v>
      </c>
      <c r="G48" s="19" t="s">
        <v>506</v>
      </c>
      <c r="H48" s="19" t="s">
        <v>40</v>
      </c>
      <c r="I48" s="19" t="s">
        <v>14</v>
      </c>
    </row>
    <row r="50" spans="1:9" x14ac:dyDescent="0.2">
      <c r="A50" s="19" t="s">
        <v>507</v>
      </c>
      <c r="B50" s="19" t="s">
        <v>292</v>
      </c>
      <c r="C50" s="19" t="s">
        <v>508</v>
      </c>
      <c r="D50" s="19" t="s">
        <v>509</v>
      </c>
      <c r="E50" s="19" t="s">
        <v>415</v>
      </c>
      <c r="F50" s="19" t="s">
        <v>510</v>
      </c>
      <c r="G50" s="19" t="s">
        <v>511</v>
      </c>
      <c r="H50" s="19" t="s">
        <v>29</v>
      </c>
      <c r="I50" s="19" t="s">
        <v>14</v>
      </c>
    </row>
    <row r="51" spans="1:9" x14ac:dyDescent="0.2">
      <c r="A51" s="19" t="s">
        <v>512</v>
      </c>
      <c r="B51" s="19" t="s">
        <v>292</v>
      </c>
      <c r="C51" s="19" t="s">
        <v>508</v>
      </c>
      <c r="D51" s="19" t="s">
        <v>513</v>
      </c>
      <c r="E51" s="19" t="s">
        <v>392</v>
      </c>
      <c r="F51" s="19" t="s">
        <v>510</v>
      </c>
      <c r="G51" s="19" t="s">
        <v>427</v>
      </c>
      <c r="H51" s="19" t="s">
        <v>29</v>
      </c>
      <c r="I51" s="19" t="s">
        <v>14</v>
      </c>
    </row>
    <row r="52" spans="1:9" x14ac:dyDescent="0.2">
      <c r="A52" s="19" t="s">
        <v>514</v>
      </c>
      <c r="B52" s="19" t="s">
        <v>292</v>
      </c>
      <c r="C52" s="19" t="s">
        <v>508</v>
      </c>
      <c r="D52" s="19" t="s">
        <v>515</v>
      </c>
      <c r="E52" s="19" t="s">
        <v>392</v>
      </c>
      <c r="F52" s="19" t="s">
        <v>510</v>
      </c>
      <c r="G52" s="19" t="s">
        <v>431</v>
      </c>
      <c r="H52" s="19" t="s">
        <v>29</v>
      </c>
      <c r="I52" s="19" t="s">
        <v>14</v>
      </c>
    </row>
    <row r="53" spans="1:9" x14ac:dyDescent="0.2">
      <c r="A53" s="19" t="s">
        <v>516</v>
      </c>
      <c r="B53" s="19" t="s">
        <v>292</v>
      </c>
      <c r="C53" s="19" t="s">
        <v>508</v>
      </c>
      <c r="D53" s="19" t="s">
        <v>517</v>
      </c>
      <c r="E53" s="19" t="s">
        <v>406</v>
      </c>
      <c r="F53" s="19" t="s">
        <v>518</v>
      </c>
      <c r="G53" s="19" t="s">
        <v>481</v>
      </c>
      <c r="H53" s="19" t="s">
        <v>29</v>
      </c>
      <c r="I53" s="19" t="s">
        <v>14</v>
      </c>
    </row>
  </sheetData>
  <phoneticPr fontId="3"/>
  <conditionalFormatting sqref="A3:XFD50">
    <cfRule type="expression" dxfId="1" priority="1">
      <formula>$I3="進行中"</formula>
    </cfRule>
    <cfRule type="expression" dxfId="0" priority="2">
      <formula>$I3="完了"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158CD-8095-47C7-93A8-ECE4286CD61F}">
  <dimension ref="A1:G11"/>
  <sheetViews>
    <sheetView tabSelected="1" topLeftCell="A2" workbookViewId="0">
      <selection activeCell="D17" sqref="D17"/>
    </sheetView>
  </sheetViews>
  <sheetFormatPr defaultRowHeight="19.8" customHeight="1" x14ac:dyDescent="0.2"/>
  <cols>
    <col min="1" max="1" width="13.5546875" style="16" bestFit="1" customWidth="1"/>
    <col min="2" max="2" width="25.44140625" style="16" bestFit="1" customWidth="1"/>
    <col min="3" max="3" width="16.88671875" style="16" customWidth="1"/>
    <col min="4" max="4" width="37.33203125" style="16" customWidth="1"/>
    <col min="5" max="5" width="30.77734375" style="16" bestFit="1" customWidth="1"/>
    <col min="6" max="6" width="20.77734375" style="16" customWidth="1"/>
    <col min="7" max="16384" width="8.88671875" style="16"/>
  </cols>
  <sheetData>
    <row r="1" spans="1:7" ht="19.8" customHeight="1" x14ac:dyDescent="0.2">
      <c r="A1" s="17" t="s">
        <v>0</v>
      </c>
      <c r="B1" s="17" t="s">
        <v>521</v>
      </c>
      <c r="C1" s="17" t="s">
        <v>376</v>
      </c>
      <c r="D1" s="17" t="s">
        <v>3</v>
      </c>
      <c r="E1" s="17" t="s">
        <v>139</v>
      </c>
      <c r="F1" s="17" t="s">
        <v>7</v>
      </c>
      <c r="G1" s="18" t="s">
        <v>6</v>
      </c>
    </row>
    <row r="2" spans="1:7" ht="19.8" customHeight="1" x14ac:dyDescent="0.2">
      <c r="A2" s="16" t="s">
        <v>522</v>
      </c>
      <c r="B2" s="16" t="s">
        <v>523</v>
      </c>
      <c r="C2" s="16" t="s">
        <v>380</v>
      </c>
      <c r="D2" s="16" t="s">
        <v>524</v>
      </c>
      <c r="E2" s="16" t="s">
        <v>525</v>
      </c>
      <c r="F2" s="16" t="s">
        <v>526</v>
      </c>
      <c r="G2" s="16" t="s">
        <v>266</v>
      </c>
    </row>
    <row r="3" spans="1:7" ht="19.8" customHeight="1" x14ac:dyDescent="0.2">
      <c r="A3" s="16" t="s">
        <v>527</v>
      </c>
      <c r="B3" s="16" t="s">
        <v>528</v>
      </c>
      <c r="C3" s="16" t="s">
        <v>380</v>
      </c>
      <c r="D3" s="16" t="s">
        <v>529</v>
      </c>
      <c r="E3" s="16" t="s">
        <v>530</v>
      </c>
      <c r="F3" s="16" t="s">
        <v>531</v>
      </c>
      <c r="G3" s="16" t="s">
        <v>266</v>
      </c>
    </row>
    <row r="4" spans="1:7" ht="47.4" customHeight="1" x14ac:dyDescent="0.2">
      <c r="A4" s="16" t="s">
        <v>532</v>
      </c>
      <c r="B4" s="16" t="s">
        <v>560</v>
      </c>
      <c r="C4" s="16" t="s">
        <v>472</v>
      </c>
      <c r="D4" s="16" t="s">
        <v>561</v>
      </c>
      <c r="E4" s="16" t="s">
        <v>562</v>
      </c>
      <c r="F4" s="16" t="s">
        <v>563</v>
      </c>
      <c r="G4" s="16" t="s">
        <v>266</v>
      </c>
    </row>
    <row r="5" spans="1:7" ht="31.8" customHeight="1" x14ac:dyDescent="0.2">
      <c r="A5" s="16" t="s">
        <v>533</v>
      </c>
      <c r="B5" s="16" t="s">
        <v>564</v>
      </c>
      <c r="C5" s="16" t="s">
        <v>472</v>
      </c>
      <c r="D5" s="16" t="s">
        <v>565</v>
      </c>
      <c r="E5" s="16" t="s">
        <v>566</v>
      </c>
      <c r="F5" s="16" t="s">
        <v>567</v>
      </c>
      <c r="G5" s="16" t="s">
        <v>266</v>
      </c>
    </row>
    <row r="6" spans="1:7" ht="19.8" customHeight="1" x14ac:dyDescent="0.2">
      <c r="A6" s="16" t="s">
        <v>534</v>
      </c>
      <c r="B6" s="16" t="s">
        <v>535</v>
      </c>
      <c r="C6" s="16" t="s">
        <v>484</v>
      </c>
      <c r="D6" s="16" t="s">
        <v>536</v>
      </c>
      <c r="E6" s="16" t="s">
        <v>537</v>
      </c>
      <c r="F6" s="16" t="s">
        <v>538</v>
      </c>
      <c r="G6" s="16" t="s">
        <v>266</v>
      </c>
    </row>
    <row r="7" spans="1:7" ht="19.8" customHeight="1" x14ac:dyDescent="0.2">
      <c r="A7" s="16" t="s">
        <v>539</v>
      </c>
      <c r="B7" s="16" t="s">
        <v>540</v>
      </c>
      <c r="C7" s="16" t="s">
        <v>484</v>
      </c>
      <c r="D7" s="16" t="s">
        <v>541</v>
      </c>
      <c r="E7" s="16" t="s">
        <v>542</v>
      </c>
      <c r="F7" s="16" t="s">
        <v>543</v>
      </c>
      <c r="G7" s="16" t="s">
        <v>266</v>
      </c>
    </row>
    <row r="8" spans="1:7" ht="19.8" customHeight="1" x14ac:dyDescent="0.2">
      <c r="A8" s="16" t="s">
        <v>544</v>
      </c>
      <c r="B8" s="16" t="s">
        <v>545</v>
      </c>
      <c r="C8" s="16" t="s">
        <v>484</v>
      </c>
      <c r="D8" s="16" t="s">
        <v>546</v>
      </c>
      <c r="E8" s="16" t="s">
        <v>547</v>
      </c>
      <c r="F8" s="16" t="s">
        <v>548</v>
      </c>
      <c r="G8" s="16" t="s">
        <v>266</v>
      </c>
    </row>
    <row r="9" spans="1:7" ht="19.8" customHeight="1" x14ac:dyDescent="0.2">
      <c r="A9" s="16" t="s">
        <v>549</v>
      </c>
      <c r="B9" s="16" t="s">
        <v>550</v>
      </c>
      <c r="C9" s="16" t="s">
        <v>484</v>
      </c>
      <c r="D9" s="16" t="s">
        <v>551</v>
      </c>
      <c r="E9" s="16" t="s">
        <v>552</v>
      </c>
      <c r="F9" s="16" t="s">
        <v>553</v>
      </c>
      <c r="G9" s="16" t="s">
        <v>266</v>
      </c>
    </row>
    <row r="10" spans="1:7" ht="19.8" customHeight="1" x14ac:dyDescent="0.2">
      <c r="A10" s="16" t="s">
        <v>568</v>
      </c>
      <c r="B10" s="16" t="s">
        <v>554</v>
      </c>
      <c r="C10" s="16" t="s">
        <v>380</v>
      </c>
      <c r="D10" s="16" t="s">
        <v>569</v>
      </c>
      <c r="E10" s="16" t="s">
        <v>555</v>
      </c>
      <c r="F10" s="16" t="s">
        <v>556</v>
      </c>
      <c r="G10" s="16" t="s">
        <v>266</v>
      </c>
    </row>
    <row r="11" spans="1:7" ht="19.8" customHeight="1" x14ac:dyDescent="0.2">
      <c r="A11" s="16" t="s">
        <v>559</v>
      </c>
      <c r="B11" s="16" t="s">
        <v>380</v>
      </c>
      <c r="C11" s="16" t="s">
        <v>557</v>
      </c>
      <c r="D11" s="16" t="s">
        <v>511</v>
      </c>
      <c r="E11" s="16" t="s">
        <v>558</v>
      </c>
      <c r="G11" s="16" t="s">
        <v>266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D9"/>
  <sheetViews>
    <sheetView workbookViewId="0"/>
  </sheetViews>
  <sheetFormatPr defaultRowHeight="13.2" x14ac:dyDescent="0.2"/>
  <sheetData>
    <row r="1" spans="1:4" x14ac:dyDescent="0.2">
      <c r="A1" s="1" t="s">
        <v>87</v>
      </c>
    </row>
    <row r="3" spans="1:4" x14ac:dyDescent="0.2">
      <c r="A3" t="s">
        <v>88</v>
      </c>
    </row>
    <row r="4" spans="1:4" x14ac:dyDescent="0.2">
      <c r="A4" t="s">
        <v>1</v>
      </c>
      <c r="B4" t="s">
        <v>89</v>
      </c>
      <c r="C4" t="s">
        <v>90</v>
      </c>
      <c r="D4" t="s">
        <v>91</v>
      </c>
    </row>
    <row r="5" spans="1:4" x14ac:dyDescent="0.2">
      <c r="A5" t="s">
        <v>9</v>
      </c>
      <c r="B5">
        <f>COUNTIF(実装タスク一覧!B:B,"A")</f>
        <v>5</v>
      </c>
      <c r="C5">
        <f>COUNTIFS(実装タスク一覧!B:B,"A",実装タスク一覧!G:G,"完了")</f>
        <v>2</v>
      </c>
      <c r="D5">
        <f>IF(B5=0,0,C5/B5)</f>
        <v>0.4</v>
      </c>
    </row>
    <row r="6" spans="1:4" x14ac:dyDescent="0.2">
      <c r="A6" t="s">
        <v>26</v>
      </c>
      <c r="B6">
        <f>COUNTIF(実装タスク一覧!B:B,"B")</f>
        <v>5</v>
      </c>
      <c r="C6">
        <f>COUNTIFS(実装タスク一覧!B:B,"B",実装タスク一覧!G:G,"完了")</f>
        <v>0</v>
      </c>
      <c r="D6">
        <f>IF(B6=0,0,C6/B6)</f>
        <v>0</v>
      </c>
    </row>
    <row r="7" spans="1:4" x14ac:dyDescent="0.2">
      <c r="A7" t="s">
        <v>45</v>
      </c>
      <c r="B7">
        <f>COUNTIF(実装タスク一覧!B:B,"C")</f>
        <v>5</v>
      </c>
      <c r="C7">
        <f>COUNTIFS(実装タスク一覧!B:B,"C",実装タスク一覧!G:G,"完了")</f>
        <v>0</v>
      </c>
      <c r="D7">
        <f>IF(B7=0,0,C7/B7)</f>
        <v>0</v>
      </c>
    </row>
    <row r="8" spans="1:4" x14ac:dyDescent="0.2">
      <c r="A8" t="s">
        <v>61</v>
      </c>
      <c r="B8">
        <f>COUNTIF(実装タスク一覧!B:B,"D")</f>
        <v>5</v>
      </c>
      <c r="C8">
        <f>COUNTIFS(実装タスク一覧!B:B,"D",実装タスク一覧!G:G,"完了")</f>
        <v>0</v>
      </c>
      <c r="D8">
        <f>IF(B8=0,0,C8/B8)</f>
        <v>0</v>
      </c>
    </row>
    <row r="9" spans="1:4" x14ac:dyDescent="0.2">
      <c r="A9" t="s">
        <v>77</v>
      </c>
      <c r="B9">
        <f>COUNTIF(実装タスク一覧!B:B,"E")</f>
        <v>3</v>
      </c>
      <c r="C9">
        <f>COUNTIFS(実装タスク一覧!B:B,"E",実装タスク一覧!G:G,"完了")</f>
        <v>0</v>
      </c>
      <c r="D9">
        <f>IF(B9=0,0,C9/B9)</f>
        <v>0</v>
      </c>
    </row>
  </sheetData>
  <phoneticPr fontId="3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E5"/>
  <sheetViews>
    <sheetView workbookViewId="0"/>
  </sheetViews>
  <sheetFormatPr defaultRowHeight="13.2" x14ac:dyDescent="0.2"/>
  <cols>
    <col min="1" max="5" width="25" customWidth="1"/>
  </cols>
  <sheetData>
    <row r="1" spans="1:5" x14ac:dyDescent="0.2">
      <c r="A1" t="s">
        <v>92</v>
      </c>
      <c r="B1" t="s">
        <v>93</v>
      </c>
      <c r="C1" t="s">
        <v>94</v>
      </c>
      <c r="D1" t="s">
        <v>95</v>
      </c>
      <c r="E1" t="s">
        <v>7</v>
      </c>
    </row>
    <row r="2" spans="1:5" x14ac:dyDescent="0.2">
      <c r="A2" t="s">
        <v>96</v>
      </c>
      <c r="B2" t="s">
        <v>97</v>
      </c>
      <c r="C2" t="s">
        <v>98</v>
      </c>
      <c r="D2" t="s">
        <v>99</v>
      </c>
    </row>
    <row r="3" spans="1:5" x14ac:dyDescent="0.2">
      <c r="A3" t="s">
        <v>100</v>
      </c>
      <c r="B3" t="s">
        <v>101</v>
      </c>
      <c r="C3" t="s">
        <v>102</v>
      </c>
      <c r="D3" t="s">
        <v>103</v>
      </c>
    </row>
    <row r="4" spans="1:5" x14ac:dyDescent="0.2">
      <c r="A4" t="s">
        <v>104</v>
      </c>
      <c r="B4" t="s">
        <v>97</v>
      </c>
      <c r="C4" t="s">
        <v>105</v>
      </c>
      <c r="D4" t="s">
        <v>106</v>
      </c>
    </row>
    <row r="5" spans="1:5" x14ac:dyDescent="0.2">
      <c r="A5" t="s">
        <v>107</v>
      </c>
      <c r="B5" t="s">
        <v>97</v>
      </c>
      <c r="C5" t="s">
        <v>108</v>
      </c>
      <c r="D5" t="s">
        <v>109</v>
      </c>
    </row>
  </sheetData>
  <phoneticPr fontId="3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74C4C-BBAD-475C-B960-12B05954D3F6}">
  <dimension ref="B3:D4"/>
  <sheetViews>
    <sheetView workbookViewId="0">
      <selection activeCell="C6" sqref="C6"/>
    </sheetView>
  </sheetViews>
  <sheetFormatPr defaultRowHeight="17.399999999999999" x14ac:dyDescent="0.5"/>
  <cols>
    <col min="3" max="3" width="31.44140625" bestFit="1" customWidth="1"/>
    <col min="4" max="4" width="57" style="11" bestFit="1" customWidth="1"/>
  </cols>
  <sheetData>
    <row r="3" spans="2:4" x14ac:dyDescent="0.5">
      <c r="B3">
        <v>1</v>
      </c>
      <c r="C3" t="s">
        <v>361</v>
      </c>
      <c r="D3" s="11" t="s">
        <v>359</v>
      </c>
    </row>
    <row r="4" spans="2:4" x14ac:dyDescent="0.5">
      <c r="D4" s="11" t="s">
        <v>360</v>
      </c>
    </row>
  </sheetData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6AA5-9272-4483-93C0-606D813A2837}">
  <dimension ref="B3:O49"/>
  <sheetViews>
    <sheetView workbookViewId="0">
      <selection activeCell="E5" sqref="E5"/>
    </sheetView>
  </sheetViews>
  <sheetFormatPr defaultRowHeight="13.2" x14ac:dyDescent="0.2"/>
  <cols>
    <col min="1" max="1" width="8.88671875" style="20"/>
    <col min="2" max="2" width="3.21875" style="20" customWidth="1"/>
    <col min="3" max="3" width="15.21875" style="20" customWidth="1"/>
    <col min="4" max="4" width="18.44140625" style="20" customWidth="1"/>
    <col min="5" max="5" width="15.88671875" style="21" customWidth="1"/>
    <col min="6" max="6" width="17.77734375" style="21" bestFit="1" customWidth="1"/>
    <col min="7" max="7" width="16.5546875" style="20" bestFit="1" customWidth="1"/>
    <col min="8" max="16384" width="8.88671875" style="20"/>
  </cols>
  <sheetData>
    <row r="3" spans="2:15" x14ac:dyDescent="0.2">
      <c r="E3" s="20"/>
      <c r="F3" s="21" t="s">
        <v>570</v>
      </c>
      <c r="G3" s="21" t="s">
        <v>571</v>
      </c>
    </row>
    <row r="4" spans="2:15" x14ac:dyDescent="0.2">
      <c r="B4" s="20" t="s">
        <v>572</v>
      </c>
      <c r="E4" s="20"/>
      <c r="G4" s="21"/>
    </row>
    <row r="5" spans="2:15" x14ac:dyDescent="0.2">
      <c r="B5" s="20" t="s">
        <v>573</v>
      </c>
      <c r="E5" s="20"/>
      <c r="G5" s="21"/>
    </row>
    <row r="6" spans="2:15" x14ac:dyDescent="0.2">
      <c r="C6" s="20" t="s">
        <v>574</v>
      </c>
      <c r="E6" s="20"/>
      <c r="F6" s="21" t="s">
        <v>575</v>
      </c>
      <c r="G6" s="21" t="s">
        <v>576</v>
      </c>
      <c r="O6" s="20" t="s">
        <v>577</v>
      </c>
    </row>
    <row r="7" spans="2:15" x14ac:dyDescent="0.2">
      <c r="C7" s="20" t="s">
        <v>578</v>
      </c>
      <c r="E7" s="20"/>
      <c r="F7" s="21">
        <v>600</v>
      </c>
      <c r="G7" s="21">
        <v>700</v>
      </c>
      <c r="O7" s="20" t="s">
        <v>579</v>
      </c>
    </row>
    <row r="8" spans="2:15" x14ac:dyDescent="0.2">
      <c r="C8" s="20" t="s">
        <v>580</v>
      </c>
      <c r="E8" s="20"/>
      <c r="F8" s="21" t="s">
        <v>581</v>
      </c>
      <c r="G8" s="21" t="s">
        <v>582</v>
      </c>
      <c r="O8" s="20" t="s">
        <v>583</v>
      </c>
    </row>
    <row r="9" spans="2:15" x14ac:dyDescent="0.2">
      <c r="C9" s="20" t="s">
        <v>584</v>
      </c>
      <c r="E9" s="20"/>
      <c r="F9" s="21" t="s">
        <v>585</v>
      </c>
      <c r="G9" s="21" t="s">
        <v>586</v>
      </c>
    </row>
    <row r="10" spans="2:15" x14ac:dyDescent="0.2">
      <c r="N10" s="20" t="s">
        <v>587</v>
      </c>
    </row>
    <row r="11" spans="2:15" x14ac:dyDescent="0.2">
      <c r="N11" s="20" t="s">
        <v>588</v>
      </c>
    </row>
    <row r="12" spans="2:15" x14ac:dyDescent="0.2">
      <c r="B12" s="20" t="s">
        <v>577</v>
      </c>
      <c r="N12" s="20" t="s">
        <v>589</v>
      </c>
    </row>
    <row r="13" spans="2:15" x14ac:dyDescent="0.2">
      <c r="C13" s="20" t="s">
        <v>587</v>
      </c>
      <c r="N13" s="20" t="s">
        <v>590</v>
      </c>
    </row>
    <row r="14" spans="2:15" x14ac:dyDescent="0.2">
      <c r="C14" s="20" t="s">
        <v>588</v>
      </c>
      <c r="N14" s="20" t="s">
        <v>591</v>
      </c>
    </row>
    <row r="15" spans="2:15" x14ac:dyDescent="0.2">
      <c r="C15" s="20" t="s">
        <v>589</v>
      </c>
      <c r="N15" s="20" t="s">
        <v>592</v>
      </c>
    </row>
    <row r="16" spans="2:15" x14ac:dyDescent="0.2">
      <c r="D16" s="20" t="s">
        <v>593</v>
      </c>
      <c r="E16" s="20" t="s">
        <v>574</v>
      </c>
      <c r="F16" s="21" t="s">
        <v>575</v>
      </c>
      <c r="G16" s="21" t="s">
        <v>594</v>
      </c>
      <c r="N16" s="20" t="s">
        <v>595</v>
      </c>
    </row>
    <row r="17" spans="2:7" x14ac:dyDescent="0.2">
      <c r="E17" s="20" t="s">
        <v>578</v>
      </c>
      <c r="F17" s="21">
        <v>500</v>
      </c>
      <c r="G17" s="21">
        <v>400</v>
      </c>
    </row>
    <row r="18" spans="2:7" x14ac:dyDescent="0.2">
      <c r="D18" s="20" t="s">
        <v>596</v>
      </c>
      <c r="E18" s="20"/>
      <c r="F18" s="21" t="s">
        <v>597</v>
      </c>
      <c r="G18" s="21"/>
    </row>
    <row r="19" spans="2:7" x14ac:dyDescent="0.2">
      <c r="C19" s="20" t="s">
        <v>590</v>
      </c>
      <c r="D19" s="20" t="s">
        <v>598</v>
      </c>
    </row>
    <row r="20" spans="2:7" x14ac:dyDescent="0.2">
      <c r="C20" s="20" t="s">
        <v>591</v>
      </c>
    </row>
    <row r="21" spans="2:7" x14ac:dyDescent="0.2">
      <c r="C21" s="20" t="s">
        <v>592</v>
      </c>
    </row>
    <row r="22" spans="2:7" x14ac:dyDescent="0.2">
      <c r="C22" s="20" t="s">
        <v>595</v>
      </c>
    </row>
    <row r="24" spans="2:7" x14ac:dyDescent="0.2">
      <c r="B24" s="20" t="s">
        <v>579</v>
      </c>
    </row>
    <row r="25" spans="2:7" x14ac:dyDescent="0.2">
      <c r="C25" s="20" t="s">
        <v>587</v>
      </c>
    </row>
    <row r="26" spans="2:7" x14ac:dyDescent="0.2">
      <c r="C26" s="20" t="s">
        <v>588</v>
      </c>
    </row>
    <row r="27" spans="2:7" x14ac:dyDescent="0.2">
      <c r="C27" s="20" t="s">
        <v>589</v>
      </c>
    </row>
    <row r="28" spans="2:7" x14ac:dyDescent="0.2">
      <c r="C28" s="20" t="s">
        <v>590</v>
      </c>
    </row>
    <row r="29" spans="2:7" x14ac:dyDescent="0.2">
      <c r="C29" s="20" t="s">
        <v>591</v>
      </c>
    </row>
    <row r="30" spans="2:7" x14ac:dyDescent="0.2">
      <c r="C30" s="20" t="s">
        <v>592</v>
      </c>
    </row>
    <row r="31" spans="2:7" x14ac:dyDescent="0.2">
      <c r="C31" s="20" t="s">
        <v>595</v>
      </c>
    </row>
    <row r="33" spans="2:4" x14ac:dyDescent="0.2">
      <c r="B33" s="20" t="s">
        <v>583</v>
      </c>
    </row>
    <row r="34" spans="2:4" x14ac:dyDescent="0.2">
      <c r="C34" s="20" t="s">
        <v>587</v>
      </c>
    </row>
    <row r="35" spans="2:4" x14ac:dyDescent="0.2">
      <c r="C35" s="20" t="s">
        <v>588</v>
      </c>
    </row>
    <row r="36" spans="2:4" x14ac:dyDescent="0.2">
      <c r="C36" s="20" t="s">
        <v>589</v>
      </c>
    </row>
    <row r="37" spans="2:4" x14ac:dyDescent="0.2">
      <c r="C37" s="20" t="s">
        <v>590</v>
      </c>
    </row>
    <row r="38" spans="2:4" x14ac:dyDescent="0.2">
      <c r="C38" s="20" t="s">
        <v>591</v>
      </c>
    </row>
    <row r="39" spans="2:4" x14ac:dyDescent="0.2">
      <c r="C39" s="20" t="s">
        <v>592</v>
      </c>
    </row>
    <row r="40" spans="2:4" x14ac:dyDescent="0.2">
      <c r="C40" s="20" t="s">
        <v>595</v>
      </c>
    </row>
    <row r="42" spans="2:4" x14ac:dyDescent="0.2">
      <c r="B42" s="20" t="s">
        <v>599</v>
      </c>
    </row>
    <row r="43" spans="2:4" x14ac:dyDescent="0.2">
      <c r="C43" s="20" t="s">
        <v>587</v>
      </c>
      <c r="D43" s="20" t="s">
        <v>600</v>
      </c>
    </row>
    <row r="44" spans="2:4" x14ac:dyDescent="0.2">
      <c r="C44" s="20" t="s">
        <v>588</v>
      </c>
      <c r="D44" s="20" t="s">
        <v>601</v>
      </c>
    </row>
    <row r="45" spans="2:4" x14ac:dyDescent="0.2">
      <c r="C45" s="20" t="s">
        <v>589</v>
      </c>
    </row>
    <row r="46" spans="2:4" x14ac:dyDescent="0.2">
      <c r="C46" s="20" t="s">
        <v>590</v>
      </c>
    </row>
    <row r="47" spans="2:4" x14ac:dyDescent="0.2">
      <c r="C47" s="20" t="s">
        <v>591</v>
      </c>
    </row>
    <row r="48" spans="2:4" x14ac:dyDescent="0.2">
      <c r="C48" s="20" t="s">
        <v>592</v>
      </c>
    </row>
    <row r="49" spans="3:4" x14ac:dyDescent="0.2">
      <c r="C49" s="20" t="s">
        <v>595</v>
      </c>
      <c r="D49" s="20" t="s">
        <v>602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実装タスク一覧</vt:lpstr>
      <vt:lpstr>A-001</vt:lpstr>
      <vt:lpstr>A-002</vt:lpstr>
      <vt:lpstr>A-003作業表 旧</vt:lpstr>
      <vt:lpstr>A-003-2</vt:lpstr>
      <vt:lpstr>A-003-3</vt:lpstr>
      <vt:lpstr>A-003-3-1</vt:lpstr>
      <vt:lpstr>進捗ダッシュボード</vt:lpstr>
      <vt:lpstr>対応表</vt:lpstr>
      <vt:lpstr>先送り項目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Sakamoto Koichiro (坂本 浩一郎)</cp:lastModifiedBy>
  <dcterms:created xsi:type="dcterms:W3CDTF">2026-03-30T07:40:53Z</dcterms:created>
  <dcterms:modified xsi:type="dcterms:W3CDTF">2026-04-16T08:42:39Z</dcterms:modified>
</cp:coreProperties>
</file>