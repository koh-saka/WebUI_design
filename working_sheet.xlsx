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E392903\Project\UE160\Doc\AutoFraming\design\"/>
    </mc:Choice>
  </mc:AlternateContent>
  <xr:revisionPtr revIDLastSave="0" documentId="8_{F6CFCEC6-523D-4F1F-95EE-31AE5D471BA8}" xr6:coauthVersionLast="47" xr6:coauthVersionMax="47" xr10:uidLastSave="{00000000-0000-0000-0000-000000000000}"/>
  <bookViews>
    <workbookView xWindow="32355" yWindow="1980" windowWidth="22050" windowHeight="11730" xr2:uid="{00000000-000D-0000-FFFF-FFFF00000000}"/>
  </bookViews>
  <sheets>
    <sheet name="実装タスク一覧" sheetId="1" r:id="rId1"/>
    <sheet name="進捗ダッシュボード" sheetId="2" r:id="rId2"/>
    <sheet name="対応表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9" i="2" l="1"/>
  <c r="B9" i="2"/>
  <c r="D9" i="2" s="1"/>
  <c r="C8" i="2"/>
  <c r="B8" i="2"/>
  <c r="D8" i="2" s="1"/>
  <c r="C7" i="2"/>
  <c r="B7" i="2"/>
  <c r="D7" i="2" s="1"/>
  <c r="C6" i="2"/>
  <c r="B6" i="2"/>
  <c r="D6" i="2" s="1"/>
  <c r="C5" i="2"/>
  <c r="B5" i="2"/>
  <c r="D5" i="2" s="1"/>
</calcChain>
</file>

<file path=xl/sharedStrings.xml><?xml version="1.0" encoding="utf-8"?>
<sst xmlns="http://schemas.openxmlformats.org/spreadsheetml/2006/main" count="207" uniqueCount="112">
  <si>
    <t>ID</t>
  </si>
  <si>
    <t>フェーズ</t>
  </si>
  <si>
    <t>タスク</t>
  </si>
  <si>
    <t>内容</t>
  </si>
  <si>
    <t>必須度</t>
  </si>
  <si>
    <t>不確実性</t>
  </si>
  <si>
    <t>状態</t>
  </si>
  <si>
    <t>備考</t>
  </si>
  <si>
    <t>A-001</t>
  </si>
  <si>
    <t>A</t>
  </si>
  <si>
    <t>プロジェクト骨格作成</t>
  </si>
  <si>
    <t>ディレクトリ・エントリHTML・JS初期化</t>
  </si>
  <si>
    <t>MVP</t>
  </si>
  <si>
    <t>低</t>
  </si>
  <si>
    <t>未着手</t>
  </si>
  <si>
    <t>A-002</t>
  </si>
  <si>
    <t>共通CSS初期化</t>
  </si>
  <si>
    <t>リセット・基本レイアウト定義</t>
  </si>
  <si>
    <t>A-003</t>
  </si>
  <si>
    <t>画面コンテナ構造作成</t>
  </si>
  <si>
    <t>主要コンテナDOM再現</t>
  </si>
  <si>
    <t>A-004</t>
  </si>
  <si>
    <t>モーダル枠実装</t>
  </si>
  <si>
    <t>共通モーダルコンポーネント</t>
  </si>
  <si>
    <t>A-005</t>
  </si>
  <si>
    <t>主要画面モック作成</t>
  </si>
  <si>
    <t>Home/Autoframing等の静的配置</t>
  </si>
  <si>
    <t>B-001</t>
  </si>
  <si>
    <t>B</t>
  </si>
  <si>
    <t>state一覧抽出</t>
  </si>
  <si>
    <t>React挙動から状態洗い出し</t>
  </si>
  <si>
    <t>高</t>
  </si>
  <si>
    <t>重要</t>
  </si>
  <si>
    <t>B-002</t>
  </si>
  <si>
    <t>appState設計</t>
  </si>
  <si>
    <t>状態オブジェクト定義</t>
  </si>
  <si>
    <t>B-003</t>
  </si>
  <si>
    <t>renderルール設計</t>
  </si>
  <si>
    <t>state→DOM更新方針</t>
  </si>
  <si>
    <t>B-004</t>
  </si>
  <si>
    <t>初期状態定義</t>
  </si>
  <si>
    <t>state初期値統一</t>
  </si>
  <si>
    <t>中</t>
  </si>
  <si>
    <t>B-005</t>
  </si>
  <si>
    <t>state遷移整理</t>
  </si>
  <si>
    <t>イベント→state変化一覧</t>
  </si>
  <si>
    <t>C-001</t>
  </si>
  <si>
    <t>C</t>
  </si>
  <si>
    <t>イベント一覧作成</t>
  </si>
  <si>
    <t>click/change等洗い出し</t>
  </si>
  <si>
    <t>C-002</t>
  </si>
  <si>
    <t>イベント→state連携</t>
  </si>
  <si>
    <t>イベントからstate更新</t>
  </si>
  <si>
    <t>C-003</t>
  </si>
  <si>
    <t>共通UI部品化</t>
  </si>
  <si>
    <t>button/select/slider整理</t>
  </si>
  <si>
    <t>C-004</t>
  </si>
  <si>
    <t>イベント委譲設計</t>
  </si>
  <si>
    <t>動的要素対応</t>
  </si>
  <si>
    <t>C-005</t>
  </si>
  <si>
    <t>入力バインド統合</t>
  </si>
  <si>
    <t>input→state→render連携</t>
  </si>
  <si>
    <t>D-001</t>
  </si>
  <si>
    <t>D</t>
  </si>
  <si>
    <t>API一覧定義</t>
  </si>
  <si>
    <t>必要API洗い出し</t>
  </si>
  <si>
    <t>D-002</t>
  </si>
  <si>
    <t>API層骨格作成</t>
  </si>
  <si>
    <t>cameraApiインターフェース</t>
  </si>
  <si>
    <t>D-003</t>
  </si>
  <si>
    <t>スタブデータ作成</t>
  </si>
  <si>
    <t>ダミーレスポンス定義</t>
  </si>
  <si>
    <t>D-004</t>
  </si>
  <si>
    <t>UI→API接続</t>
  </si>
  <si>
    <t>イベントからAPI呼び出し</t>
  </si>
  <si>
    <t>D-005</t>
  </si>
  <si>
    <t>API→state反映</t>
  </si>
  <si>
    <t>レスポンスでstate更新</t>
  </si>
  <si>
    <t>E-001</t>
  </si>
  <si>
    <t>E</t>
  </si>
  <si>
    <t>結合確認</t>
  </si>
  <si>
    <t>UI/state/API連携確認</t>
  </si>
  <si>
    <t>E-002</t>
  </si>
  <si>
    <t>レビュー対応</t>
  </si>
  <si>
    <t>指摘反映</t>
  </si>
  <si>
    <t>E-003</t>
  </si>
  <si>
    <t>最終調整</t>
  </si>
  <si>
    <t>UX/バグ修正</t>
  </si>
  <si>
    <t>拡張</t>
  </si>
  <si>
    <t>進捗サマリ</t>
  </si>
  <si>
    <t>フェーズ別進捗</t>
  </si>
  <si>
    <t>総タスク</t>
  </si>
  <si>
    <t>完了</t>
  </si>
  <si>
    <t>進捗率</t>
  </si>
  <si>
    <t>UI操作</t>
  </si>
  <si>
    <t>Event</t>
  </si>
  <si>
    <t>State変更</t>
  </si>
  <si>
    <t>API</t>
  </si>
  <si>
    <t>ボタン押下</t>
  </si>
  <si>
    <t>click</t>
  </si>
  <si>
    <t>mode変更</t>
  </si>
  <si>
    <t>なし</t>
  </si>
  <si>
    <t>スライダー操作</t>
  </si>
  <si>
    <t>input/change</t>
  </si>
  <si>
    <t>value更新</t>
  </si>
  <si>
    <t>setParam</t>
  </si>
  <si>
    <t>開始ボタン</t>
  </si>
  <si>
    <t>isRunning=true</t>
  </si>
  <si>
    <t>startAutoFraming</t>
  </si>
  <si>
    <t>停止ボタン</t>
  </si>
  <si>
    <t>isRunning=false</t>
  </si>
  <si>
    <t>stopAutoFraming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</si>
</sst>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ＭＳ Ｐゴシック"/>
      <family val="2"/>
      <scheme val="minor"/>
    </font>
    <font>
      <b/>
      <sz val="11"/>
      <name val="ＭＳ Ｐゴシック"/>
      <family val="3"/>
      <charset val="128"/>
    </font>
    <font>
      <sz val="6"/>
      <name val="ＭＳ Ｐゴシック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4"/>
  <sheetViews>
    <sheetView tabSelected="1" workbookViewId="0">
      <selection activeCell="A8" sqref="A8"/>
    </sheetView>
  </sheetViews>
  <sheetFormatPr defaultRowHeight="13.2" x14ac:dyDescent="0.2"/>
  <cols>
    <col min="1" max="2" width="22" customWidth="1"/>
    <col min="3" max="3" width="22.44140625" bestFit="1" customWidth="1"/>
    <col min="4" max="4" width="36.5546875" bestFit="1" customWidth="1"/>
    <col min="5" max="8" width="22" customWidth="1"/>
  </cols>
  <sheetData>
    <row r="1" spans="1:8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</row>
    <row r="2" spans="1:8" x14ac:dyDescent="0.2">
      <c r="A2" t="s">
        <v>8</v>
      </c>
      <c r="B2" t="s">
        <v>9</v>
      </c>
      <c r="C2" t="s">
        <v>10</v>
      </c>
      <c r="D2" t="s">
        <v>11</v>
      </c>
      <c r="E2" t="s">
        <v>12</v>
      </c>
      <c r="F2" t="s">
        <v>13</v>
      </c>
      <c r="G2" t="s">
        <v>14</v>
      </c>
    </row>
    <row r="3" spans="1:8" x14ac:dyDescent="0.2">
      <c r="A3" t="s">
        <v>15</v>
      </c>
      <c r="B3" t="s">
        <v>9</v>
      </c>
      <c r="C3" t="s">
        <v>16</v>
      </c>
      <c r="D3" t="s">
        <v>17</v>
      </c>
      <c r="E3" t="s">
        <v>12</v>
      </c>
      <c r="F3" t="s">
        <v>13</v>
      </c>
      <c r="G3" t="s">
        <v>14</v>
      </c>
    </row>
    <row r="4" spans="1:8" x14ac:dyDescent="0.2">
      <c r="A4" t="s">
        <v>18</v>
      </c>
      <c r="B4" t="s">
        <v>9</v>
      </c>
      <c r="C4" t="s">
        <v>19</v>
      </c>
      <c r="D4" t="s">
        <v>20</v>
      </c>
      <c r="E4" t="s">
        <v>12</v>
      </c>
      <c r="F4" t="s">
        <v>13</v>
      </c>
      <c r="G4" t="s">
        <v>14</v>
      </c>
    </row>
    <row r="5" spans="1:8" x14ac:dyDescent="0.2">
      <c r="A5" t="s">
        <v>21</v>
      </c>
      <c r="B5" t="s">
        <v>9</v>
      </c>
      <c r="C5" t="s">
        <v>22</v>
      </c>
      <c r="D5" t="s">
        <v>23</v>
      </c>
      <c r="E5" t="s">
        <v>12</v>
      </c>
      <c r="F5" t="s">
        <v>13</v>
      </c>
      <c r="G5" t="s">
        <v>14</v>
      </c>
    </row>
    <row r="6" spans="1:8" x14ac:dyDescent="0.2">
      <c r="A6" t="s">
        <v>24</v>
      </c>
      <c r="B6" t="s">
        <v>9</v>
      </c>
      <c r="C6" t="s">
        <v>25</v>
      </c>
      <c r="D6" t="s">
        <v>26</v>
      </c>
      <c r="E6" t="s">
        <v>12</v>
      </c>
      <c r="F6" t="s">
        <v>13</v>
      </c>
      <c r="G6" t="s">
        <v>14</v>
      </c>
    </row>
    <row r="7" spans="1:8" x14ac:dyDescent="0.2">
      <c r="A7" t="s">
        <v>27</v>
      </c>
      <c r="B7" t="s">
        <v>28</v>
      </c>
      <c r="C7" t="s">
        <v>29</v>
      </c>
      <c r="D7" t="s">
        <v>30</v>
      </c>
      <c r="E7" t="s">
        <v>12</v>
      </c>
      <c r="F7" t="s">
        <v>31</v>
      </c>
      <c r="G7" t="s">
        <v>14</v>
      </c>
      <c r="H7" t="s">
        <v>32</v>
      </c>
    </row>
    <row r="8" spans="1:8" x14ac:dyDescent="0.2">
      <c r="A8" t="s">
        <v>33</v>
      </c>
      <c r="B8" t="s">
        <v>28</v>
      </c>
      <c r="C8" t="s">
        <v>34</v>
      </c>
      <c r="D8" t="s">
        <v>35</v>
      </c>
      <c r="E8" t="s">
        <v>12</v>
      </c>
      <c r="F8" t="s">
        <v>31</v>
      </c>
      <c r="G8" t="s">
        <v>14</v>
      </c>
      <c r="H8" t="s">
        <v>32</v>
      </c>
    </row>
    <row r="9" spans="1:8" x14ac:dyDescent="0.2">
      <c r="A9" t="s">
        <v>36</v>
      </c>
      <c r="B9" t="s">
        <v>28</v>
      </c>
      <c r="C9" t="s">
        <v>37</v>
      </c>
      <c r="D9" t="s">
        <v>38</v>
      </c>
      <c r="E9" t="s">
        <v>12</v>
      </c>
      <c r="F9" t="s">
        <v>31</v>
      </c>
      <c r="G9" t="s">
        <v>14</v>
      </c>
      <c r="H9" t="s">
        <v>32</v>
      </c>
    </row>
    <row r="10" spans="1:8" x14ac:dyDescent="0.2">
      <c r="A10" t="s">
        <v>39</v>
      </c>
      <c r="B10" t="s">
        <v>28</v>
      </c>
      <c r="C10" t="s">
        <v>40</v>
      </c>
      <c r="D10" t="s">
        <v>41</v>
      </c>
      <c r="E10" t="s">
        <v>12</v>
      </c>
      <c r="F10" t="s">
        <v>42</v>
      </c>
      <c r="G10" t="s">
        <v>14</v>
      </c>
    </row>
    <row r="11" spans="1:8" x14ac:dyDescent="0.2">
      <c r="A11" t="s">
        <v>43</v>
      </c>
      <c r="B11" t="s">
        <v>28</v>
      </c>
      <c r="C11" t="s">
        <v>44</v>
      </c>
      <c r="D11" t="s">
        <v>45</v>
      </c>
      <c r="E11" t="s">
        <v>12</v>
      </c>
      <c r="F11" t="s">
        <v>31</v>
      </c>
      <c r="G11" t="s">
        <v>14</v>
      </c>
    </row>
    <row r="12" spans="1:8" x14ac:dyDescent="0.2">
      <c r="A12" t="s">
        <v>46</v>
      </c>
      <c r="B12" t="s">
        <v>47</v>
      </c>
      <c r="C12" t="s">
        <v>48</v>
      </c>
      <c r="D12" t="s">
        <v>49</v>
      </c>
      <c r="E12" t="s">
        <v>12</v>
      </c>
      <c r="F12" t="s">
        <v>42</v>
      </c>
      <c r="G12" t="s">
        <v>14</v>
      </c>
    </row>
    <row r="13" spans="1:8" x14ac:dyDescent="0.2">
      <c r="A13" t="s">
        <v>50</v>
      </c>
      <c r="B13" t="s">
        <v>47</v>
      </c>
      <c r="C13" t="s">
        <v>51</v>
      </c>
      <c r="D13" t="s">
        <v>52</v>
      </c>
      <c r="E13" t="s">
        <v>12</v>
      </c>
      <c r="F13" t="s">
        <v>31</v>
      </c>
      <c r="G13" t="s">
        <v>14</v>
      </c>
      <c r="H13" t="s">
        <v>32</v>
      </c>
    </row>
    <row r="14" spans="1:8" x14ac:dyDescent="0.2">
      <c r="A14" t="s">
        <v>53</v>
      </c>
      <c r="B14" t="s">
        <v>47</v>
      </c>
      <c r="C14" t="s">
        <v>54</v>
      </c>
      <c r="D14" t="s">
        <v>55</v>
      </c>
      <c r="E14" t="s">
        <v>12</v>
      </c>
      <c r="F14" t="s">
        <v>42</v>
      </c>
      <c r="G14" t="s">
        <v>14</v>
      </c>
    </row>
    <row r="15" spans="1:8" x14ac:dyDescent="0.2">
      <c r="A15" t="s">
        <v>56</v>
      </c>
      <c r="B15" t="s">
        <v>47</v>
      </c>
      <c r="C15" t="s">
        <v>57</v>
      </c>
      <c r="D15" t="s">
        <v>58</v>
      </c>
      <c r="E15" t="s">
        <v>12</v>
      </c>
      <c r="F15" t="s">
        <v>42</v>
      </c>
      <c r="G15" t="s">
        <v>14</v>
      </c>
    </row>
    <row r="16" spans="1:8" x14ac:dyDescent="0.2">
      <c r="A16" t="s">
        <v>59</v>
      </c>
      <c r="B16" t="s">
        <v>47</v>
      </c>
      <c r="C16" t="s">
        <v>60</v>
      </c>
      <c r="D16" t="s">
        <v>61</v>
      </c>
      <c r="E16" t="s">
        <v>12</v>
      </c>
      <c r="F16" t="s">
        <v>42</v>
      </c>
      <c r="G16" t="s">
        <v>14</v>
      </c>
    </row>
    <row r="17" spans="1:8" x14ac:dyDescent="0.2">
      <c r="A17" t="s">
        <v>62</v>
      </c>
      <c r="B17" t="s">
        <v>63</v>
      </c>
      <c r="C17" t="s">
        <v>64</v>
      </c>
      <c r="D17" t="s">
        <v>65</v>
      </c>
      <c r="E17" t="s">
        <v>12</v>
      </c>
      <c r="F17" t="s">
        <v>31</v>
      </c>
      <c r="G17" t="s">
        <v>14</v>
      </c>
      <c r="H17" t="s">
        <v>32</v>
      </c>
    </row>
    <row r="18" spans="1:8" x14ac:dyDescent="0.2">
      <c r="A18" t="s">
        <v>66</v>
      </c>
      <c r="B18" t="s">
        <v>63</v>
      </c>
      <c r="C18" t="s">
        <v>67</v>
      </c>
      <c r="D18" t="s">
        <v>68</v>
      </c>
      <c r="E18" t="s">
        <v>12</v>
      </c>
      <c r="F18" t="s">
        <v>31</v>
      </c>
      <c r="G18" t="s">
        <v>14</v>
      </c>
      <c r="H18" t="s">
        <v>32</v>
      </c>
    </row>
    <row r="19" spans="1:8" x14ac:dyDescent="0.2">
      <c r="A19" t="s">
        <v>69</v>
      </c>
      <c r="B19" t="s">
        <v>63</v>
      </c>
      <c r="C19" t="s">
        <v>70</v>
      </c>
      <c r="D19" t="s">
        <v>71</v>
      </c>
      <c r="E19" t="s">
        <v>12</v>
      </c>
      <c r="F19" t="s">
        <v>42</v>
      </c>
      <c r="G19" t="s">
        <v>14</v>
      </c>
    </row>
    <row r="20" spans="1:8" x14ac:dyDescent="0.2">
      <c r="A20" t="s">
        <v>72</v>
      </c>
      <c r="B20" t="s">
        <v>63</v>
      </c>
      <c r="C20" t="s">
        <v>73</v>
      </c>
      <c r="D20" t="s">
        <v>74</v>
      </c>
      <c r="E20" t="s">
        <v>12</v>
      </c>
      <c r="F20" t="s">
        <v>42</v>
      </c>
      <c r="G20" t="s">
        <v>14</v>
      </c>
    </row>
    <row r="21" spans="1:8" x14ac:dyDescent="0.2">
      <c r="A21" t="s">
        <v>75</v>
      </c>
      <c r="B21" t="s">
        <v>63</v>
      </c>
      <c r="C21" t="s">
        <v>76</v>
      </c>
      <c r="D21" t="s">
        <v>77</v>
      </c>
      <c r="E21" t="s">
        <v>12</v>
      </c>
      <c r="F21" t="s">
        <v>42</v>
      </c>
      <c r="G21" t="s">
        <v>14</v>
      </c>
    </row>
    <row r="22" spans="1:8" x14ac:dyDescent="0.2">
      <c r="A22" t="s">
        <v>78</v>
      </c>
      <c r="B22" t="s">
        <v>79</v>
      </c>
      <c r="C22" t="s">
        <v>80</v>
      </c>
      <c r="D22" t="s">
        <v>81</v>
      </c>
      <c r="E22" t="s">
        <v>12</v>
      </c>
      <c r="F22" t="s">
        <v>42</v>
      </c>
      <c r="G22" t="s">
        <v>14</v>
      </c>
    </row>
    <row r="23" spans="1:8" x14ac:dyDescent="0.2">
      <c r="A23" t="s">
        <v>82</v>
      </c>
      <c r="B23" t="s">
        <v>79</v>
      </c>
      <c r="C23" t="s">
        <v>83</v>
      </c>
      <c r="D23" t="s">
        <v>84</v>
      </c>
      <c r="E23" t="s">
        <v>12</v>
      </c>
      <c r="F23" t="s">
        <v>13</v>
      </c>
      <c r="G23" t="s">
        <v>14</v>
      </c>
    </row>
    <row r="24" spans="1:8" x14ac:dyDescent="0.2">
      <c r="A24" t="s">
        <v>85</v>
      </c>
      <c r="B24" t="s">
        <v>79</v>
      </c>
      <c r="C24" t="s">
        <v>86</v>
      </c>
      <c r="D24" t="s">
        <v>87</v>
      </c>
      <c r="E24" t="s">
        <v>88</v>
      </c>
      <c r="F24" t="s">
        <v>13</v>
      </c>
      <c r="G24" t="s">
        <v>14</v>
      </c>
    </row>
  </sheetData>
  <phoneticPr fontId="2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9"/>
  <sheetViews>
    <sheetView workbookViewId="0"/>
  </sheetViews>
  <sheetFormatPr defaultRowHeight="13.2" x14ac:dyDescent="0.2"/>
  <sheetData>
    <row r="1" spans="1:4" x14ac:dyDescent="0.2">
      <c r="A1" s="1" t="s">
        <v>89</v>
      </c>
    </row>
    <row r="3" spans="1:4" x14ac:dyDescent="0.2">
      <c r="A3" t="s">
        <v>90</v>
      </c>
    </row>
    <row r="4" spans="1:4" x14ac:dyDescent="0.2">
      <c r="A4" t="s">
        <v>1</v>
      </c>
      <c r="B4" t="s">
        <v>91</v>
      </c>
      <c r="C4" t="s">
        <v>92</v>
      </c>
      <c r="D4" t="s">
        <v>93</v>
      </c>
    </row>
    <row r="5" spans="1:4" x14ac:dyDescent="0.2">
      <c r="A5" t="s">
        <v>9</v>
      </c>
      <c r="B5">
        <f>COUNTIF(実装タスク一覧!B:B,"A")</f>
        <v>5</v>
      </c>
      <c r="C5">
        <f>COUNTIFS(実装タスク一覧!B:B,"A",実装タスク一覧!G:G,"完了")</f>
        <v>0</v>
      </c>
      <c r="D5">
        <f>IF(B5=0,0,C5/B5)</f>
        <v>0</v>
      </c>
    </row>
    <row r="6" spans="1:4" x14ac:dyDescent="0.2">
      <c r="A6" t="s">
        <v>28</v>
      </c>
      <c r="B6">
        <f>COUNTIF(実装タスク一覧!B:B,"B")</f>
        <v>5</v>
      </c>
      <c r="C6">
        <f>COUNTIFS(実装タスク一覧!B:B,"B",実装タスク一覧!G:G,"完了")</f>
        <v>0</v>
      </c>
      <c r="D6">
        <f>IF(B6=0,0,C6/B6)</f>
        <v>0</v>
      </c>
    </row>
    <row r="7" spans="1:4" x14ac:dyDescent="0.2">
      <c r="A7" t="s">
        <v>47</v>
      </c>
      <c r="B7">
        <f>COUNTIF(実装タスク一覧!B:B,"C")</f>
        <v>5</v>
      </c>
      <c r="C7">
        <f>COUNTIFS(実装タスク一覧!B:B,"C",実装タスク一覧!G:G,"完了")</f>
        <v>0</v>
      </c>
      <c r="D7">
        <f>IF(B7=0,0,C7/B7)</f>
        <v>0</v>
      </c>
    </row>
    <row r="8" spans="1:4" x14ac:dyDescent="0.2">
      <c r="A8" t="s">
        <v>63</v>
      </c>
      <c r="B8">
        <f>COUNTIF(実装タスク一覧!B:B,"D")</f>
        <v>5</v>
      </c>
      <c r="C8">
        <f>COUNTIFS(実装タスク一覧!B:B,"D",実装タスク一覧!G:G,"完了")</f>
        <v>0</v>
      </c>
      <c r="D8">
        <f>IF(B8=0,0,C8/B8)</f>
        <v>0</v>
      </c>
    </row>
    <row r="9" spans="1:4" x14ac:dyDescent="0.2">
      <c r="A9" t="s">
        <v>79</v>
      </c>
      <c r="B9">
        <f>COUNTIF(実装タスク一覧!B:B,"E")</f>
        <v>3</v>
      </c>
      <c r="C9">
        <f>COUNTIFS(実装タスク一覧!B:B,"E",実装タスク一覧!G:G,"完了")</f>
        <v>0</v>
      </c>
      <c r="D9">
        <f>IF(B9=0,0,C9/B9)</f>
        <v>0</v>
      </c>
    </row>
  </sheetData>
  <phoneticPr fontId="2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5"/>
  <sheetViews>
    <sheetView workbookViewId="0"/>
  </sheetViews>
  <sheetFormatPr defaultRowHeight="13.2" x14ac:dyDescent="0.2"/>
  <cols>
    <col min="1" max="5" width="25" customWidth="1"/>
  </cols>
  <sheetData>
    <row r="1" spans="1:5" x14ac:dyDescent="0.2">
      <c r="A1" t="s">
        <v>94</v>
      </c>
      <c r="B1" t="s">
        <v>95</v>
      </c>
      <c r="C1" t="s">
        <v>96</v>
      </c>
      <c r="D1" t="s">
        <v>97</v>
      </c>
      <c r="E1" t="s">
        <v>7</v>
      </c>
    </row>
    <row r="2" spans="1:5" x14ac:dyDescent="0.2">
      <c r="A2" t="s">
        <v>98</v>
      </c>
      <c r="B2" t="s">
        <v>99</v>
      </c>
      <c r="C2" t="s">
        <v>100</v>
      </c>
      <c r="D2" t="s">
        <v>101</v>
      </c>
    </row>
    <row r="3" spans="1:5" x14ac:dyDescent="0.2">
      <c r="A3" t="s">
        <v>102</v>
      </c>
      <c r="B3" t="s">
        <v>103</v>
      </c>
      <c r="C3" t="s">
        <v>104</v>
      </c>
      <c r="D3" t="s">
        <v>105</v>
      </c>
    </row>
    <row r="4" spans="1:5" x14ac:dyDescent="0.2">
      <c r="A4" t="s">
        <v>106</v>
      </c>
      <c r="B4" t="s">
        <v>99</v>
      </c>
      <c r="C4" t="s">
        <v>107</v>
      </c>
      <c r="D4" t="s">
        <v>108</v>
      </c>
    </row>
    <row r="5" spans="1:5" x14ac:dyDescent="0.2">
      <c r="A5" t="s">
        <v>109</v>
      </c>
      <c r="B5" t="s">
        <v>99</v>
      </c>
      <c r="C5" t="s">
        <v>110</v>
      </c>
      <c r="D5" t="s">
        <v>111</v>
      </c>
    </row>
  </sheetData>
  <phoneticPr fontId="2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実装タスク一覧</vt:lpstr>
      <vt:lpstr>進捗ダッシュボード</vt:lpstr>
      <vt:lpstr>対応表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Sakamoto Koichiro (坂本 浩一郎)</cp:lastModifiedBy>
  <dcterms:created xsi:type="dcterms:W3CDTF">2026-03-30T07:40:53Z</dcterms:created>
  <dcterms:modified xsi:type="dcterms:W3CDTF">2026-03-30T08:03:19Z</dcterms:modified>
</cp:coreProperties>
</file>