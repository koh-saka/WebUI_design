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チケット一覧" sheetId="1" state="visible" r:id="rId1"/>
    <sheet xmlns:r="http://schemas.openxmlformats.org/officeDocument/2006/relationships" name="進捗サマリ" sheetId="2" state="visible" r:id="rId2"/>
    <sheet xmlns:r="http://schemas.openxmlformats.org/officeDocument/2006/relationships" name="確認シナリ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F2FF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4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9" fontId="0" fillId="5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6" borderId="0" pivotButton="0" quotePrefix="0" xfId="0"/>
    <xf numFmtId="1" fontId="0" fillId="5" borderId="0" pivotButton="0" quotePrefix="0" xfId="0"/>
    <xf numFmtId="164" fontId="0" fillId="5" borderId="0" pivotButton="0" quotePrefix="0" xfId="0"/>
    <xf numFmtId="9" fontId="0" fillId="5" borderId="0" pivotButton="0" quotePrefix="0" xfId="0"/>
    <xf numFmtId="0" fontId="2" fillId="8" borderId="0" pivotButton="0" quotePrefix="0" xfId="0"/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_フェーズ2" displayName="Table_フェーズ2" ref="A7:N20" headerRowCount="1">
  <autoFilter ref="A7:N20"/>
  <tableColumns count="14">
    <tableColumn id="1" name="チケットID"/>
    <tableColumn id="2" name="カテゴリ"/>
    <tableColumn id="3" name="タスク名"/>
    <tableColumn id="4" name="目的/完了条件"/>
    <tableColumn id="5" name="主な作業内容"/>
    <tableColumn id="6" name="成果物"/>
    <tableColumn id="7" name="前提・依存"/>
    <tableColumn id="8" name="優先度"/>
    <tableColumn id="9" name="ステータス"/>
    <tableColumn id="10" name="担当"/>
    <tableColumn id="11" name="見積(人日)"/>
    <tableColumn id="12" name="実績(人日)"/>
    <tableColumn id="13" name="進捗(%)"/>
    <tableColumn id="14" name="変更可能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30" customWidth="1" min="4" max="4"/>
    <col width="34" customWidth="1" min="5" max="5"/>
    <col width="18" customWidth="1" min="6" max="6"/>
    <col width="22" customWidth="1" min="7" max="7"/>
    <col width="9" customWidth="1" min="8" max="8"/>
    <col width="10" customWidth="1" min="9" max="9"/>
    <col width="10" customWidth="1" min="10" max="10"/>
    <col width="11" customWidth="1" min="11" max="11"/>
    <col width="11" customWidth="1" min="12" max="12"/>
    <col width="9" customWidth="1" min="13" max="13"/>
    <col width="10" customWidth="1" min="14" max="14"/>
  </cols>
  <sheetData>
    <row r="1" ht="24" customHeight="1">
      <c r="A1" s="1" t="inlineStr">
        <is>
          <t>フェーズ2 詳細版 作業チケット</t>
        </is>
      </c>
    </row>
    <row r="2" ht="34" customHeight="1">
      <c r="A2" s="2" t="inlineStr">
        <is>
          <t>目的</t>
        </is>
      </c>
      <c r="B2" s="3" t="inlineStr">
        <is>
          <t>jQueryベースで画面状態・イベント・表示更新を成立させ、通信なしでもレビュー可能なモックUIを作る。</t>
        </is>
      </c>
    </row>
    <row r="3" ht="34" customHeight="1">
      <c r="A3" s="2" t="inlineStr">
        <is>
          <t>位置づけ</t>
        </is>
      </c>
      <c r="B3" s="3" t="inlineStr">
        <is>
          <t>モック版作成を目標とした具体作業チケット。客先仕様・通信I/F確定前のため、現時点の想定ベース。</t>
        </is>
      </c>
    </row>
    <row r="4" ht="34" customHeight="1">
      <c r="A4" s="2" t="inlineStr">
        <is>
          <t>使い方</t>
        </is>
      </c>
      <c r="B4" s="3" t="inlineStr">
        <is>
          <t>担当・ステータス・見積・実績・進捗を更新して進捗管理に使用する。仕様確定後にチケット削除・分割を実施する。</t>
        </is>
      </c>
    </row>
    <row r="7" ht="34" customHeight="1">
      <c r="A7" s="4" t="inlineStr">
        <is>
          <t>チケットID</t>
        </is>
      </c>
      <c r="B7" s="4" t="inlineStr">
        <is>
          <t>カテゴリ</t>
        </is>
      </c>
      <c r="C7" s="4" t="inlineStr">
        <is>
          <t>タスク名</t>
        </is>
      </c>
      <c r="D7" s="4" t="inlineStr">
        <is>
          <t>目的/完了条件</t>
        </is>
      </c>
      <c r="E7" s="4" t="inlineStr">
        <is>
          <t>主な作業内容</t>
        </is>
      </c>
      <c r="F7" s="4" t="inlineStr">
        <is>
          <t>成果物</t>
        </is>
      </c>
      <c r="G7" s="4" t="inlineStr">
        <is>
          <t>前提・依存</t>
        </is>
      </c>
      <c r="H7" s="4" t="inlineStr">
        <is>
          <t>優先度</t>
        </is>
      </c>
      <c r="I7" s="4" t="inlineStr">
        <is>
          <t>ステータス</t>
        </is>
      </c>
      <c r="J7" s="4" t="inlineStr">
        <is>
          <t>担当</t>
        </is>
      </c>
      <c r="K7" s="4" t="inlineStr">
        <is>
          <t>見積(人日)</t>
        </is>
      </c>
      <c r="L7" s="4" t="inlineStr">
        <is>
          <t>実績(人日)</t>
        </is>
      </c>
      <c r="M7" s="4" t="inlineStr">
        <is>
          <t>進捗(%)</t>
        </is>
      </c>
      <c r="N7" s="4" t="inlineStr">
        <is>
          <t>変更可能性</t>
        </is>
      </c>
    </row>
    <row r="8" ht="34" customHeight="1">
      <c r="A8" s="5" t="inlineStr">
        <is>
          <t>P2-01</t>
        </is>
      </c>
      <c r="B8" s="6" t="inlineStr">
        <is>
          <t>状態管理</t>
        </is>
      </c>
      <c r="C8" s="6" t="inlineStr">
        <is>
          <t>画面状態一覧の定義</t>
        </is>
      </c>
      <c r="D8" s="6" t="inlineStr">
        <is>
          <t>モック版で管理する状態項目と初期値が表で整理されている</t>
        </is>
      </c>
      <c r="E8" s="6" t="inlineStr">
        <is>
          <t>currentPage/currentTab/selectedCamera/trackingEnabled/mode/slider/dialog/enableDisable状態を洗い出す</t>
        </is>
      </c>
      <c r="F8" s="6" t="inlineStr">
        <is>
          <t>状態一覧表</t>
        </is>
      </c>
      <c r="G8" s="6" t="inlineStr">
        <is>
          <t>フェーズ1画面一覧</t>
        </is>
      </c>
      <c r="H8" s="7" t="inlineStr">
        <is>
          <t>高</t>
        </is>
      </c>
      <c r="I8" s="7" t="inlineStr">
        <is>
          <t>未着手</t>
        </is>
      </c>
      <c r="J8" s="7" t="inlineStr"/>
      <c r="K8" s="8" t="n">
        <v>1</v>
      </c>
      <c r="L8" s="8" t="inlineStr"/>
      <c r="M8" s="9" t="n">
        <v>0</v>
      </c>
      <c r="N8" s="10" t="inlineStr">
        <is>
          <t>高</t>
        </is>
      </c>
    </row>
    <row r="9" ht="34" customHeight="1">
      <c r="A9" s="5" t="inlineStr">
        <is>
          <t>P2-02</t>
        </is>
      </c>
      <c r="B9" s="6" t="inlineStr">
        <is>
          <t>状態管理</t>
        </is>
      </c>
      <c r="C9" s="6" t="inlineStr">
        <is>
          <t>appStateオブジェクトの作成</t>
        </is>
      </c>
      <c r="D9" s="6" t="inlineStr">
        <is>
          <t>主要状態が1か所に集約され、散在変数を使わない構成になっている</t>
        </is>
      </c>
      <c r="E9" s="6" t="inlineStr">
        <is>
          <t>state.js作成、状態項目定義、初期値設定、参照/更新ルールの土台作成</t>
        </is>
      </c>
      <c r="F9" s="6" t="inlineStr">
        <is>
          <t>state.js</t>
        </is>
      </c>
      <c r="G9" s="6" t="inlineStr">
        <is>
          <t>P2-01</t>
        </is>
      </c>
      <c r="H9" s="7" t="inlineStr">
        <is>
          <t>高</t>
        </is>
      </c>
      <c r="I9" s="7" t="inlineStr">
        <is>
          <t>未着手</t>
        </is>
      </c>
      <c r="J9" s="7" t="inlineStr"/>
      <c r="K9" s="8" t="n">
        <v>1</v>
      </c>
      <c r="L9" s="8" t="inlineStr"/>
      <c r="M9" s="9" t="n">
        <v>0</v>
      </c>
      <c r="N9" s="10" t="inlineStr">
        <is>
          <t>中</t>
        </is>
      </c>
    </row>
    <row r="10" ht="34" customHeight="1">
      <c r="A10" s="5" t="inlineStr">
        <is>
          <t>P2-03</t>
        </is>
      </c>
      <c r="B10" s="6" t="inlineStr">
        <is>
          <t>初期表示</t>
        </is>
      </c>
      <c r="C10" s="6" t="inlineStr">
        <is>
          <t>初期表示ロジックの実装</t>
        </is>
      </c>
      <c r="D10" s="6" t="inlineStr">
        <is>
          <t>ロード時に初期状態が画面へ反映される</t>
        </is>
      </c>
      <c r="E10" s="6" t="inlineStr">
        <is>
          <t>init処理、初期画面表示、選択状態・disable・表示非表示の反映</t>
        </is>
      </c>
      <c r="F10" s="6" t="inlineStr">
        <is>
          <t>init処理</t>
        </is>
      </c>
      <c r="G10" s="6" t="inlineStr">
        <is>
          <t>P2-02</t>
        </is>
      </c>
      <c r="H10" s="7" t="inlineStr">
        <is>
          <t>高</t>
        </is>
      </c>
      <c r="I10" s="7" t="inlineStr">
        <is>
          <t>未着手</t>
        </is>
      </c>
      <c r="J10" s="7" t="inlineStr"/>
      <c r="K10" s="8" t="n">
        <v>1</v>
      </c>
      <c r="L10" s="8" t="inlineStr"/>
      <c r="M10" s="9" t="n">
        <v>0</v>
      </c>
      <c r="N10" s="10" t="inlineStr">
        <is>
          <t>中</t>
        </is>
      </c>
    </row>
    <row r="11" ht="34" customHeight="1">
      <c r="A11" s="5" t="inlineStr">
        <is>
          <t>P2-04</t>
        </is>
      </c>
      <c r="B11" s="6" t="inlineStr">
        <is>
          <t>描画制御</t>
        </is>
      </c>
      <c r="C11" s="6" t="inlineStr">
        <is>
          <t>共通render方針の定義</t>
        </is>
      </c>
      <c r="D11" s="6" t="inlineStr">
        <is>
          <t>状態変更後にどの関数がどこを更新するか整理されている</t>
        </is>
      </c>
      <c r="E11" s="6" t="inlineStr">
        <is>
          <t>renderPage/renderButtons/renderInputs/renderDialogs等の分割方針を決める</t>
        </is>
      </c>
      <c r="F11" s="6" t="inlineStr">
        <is>
          <t>render関数設計</t>
        </is>
      </c>
      <c r="G11" s="6" t="inlineStr">
        <is>
          <t>P2-01,P2-02</t>
        </is>
      </c>
      <c r="H11" s="7" t="inlineStr">
        <is>
          <t>高</t>
        </is>
      </c>
      <c r="I11" s="7" t="inlineStr">
        <is>
          <t>未着手</t>
        </is>
      </c>
      <c r="J11" s="7" t="inlineStr"/>
      <c r="K11" s="8" t="n">
        <v>1</v>
      </c>
      <c r="L11" s="8" t="inlineStr"/>
      <c r="M11" s="9" t="n">
        <v>0</v>
      </c>
      <c r="N11" s="10" t="inlineStr">
        <is>
          <t>中</t>
        </is>
      </c>
    </row>
    <row r="12" ht="34" customHeight="1">
      <c r="A12" s="5" t="inlineStr">
        <is>
          <t>P2-05</t>
        </is>
      </c>
      <c r="B12" s="6" t="inlineStr">
        <is>
          <t>画面遷移</t>
        </is>
      </c>
      <c r="C12" s="6" t="inlineStr">
        <is>
          <t>画面遷移制御の実装</t>
        </is>
      </c>
      <c r="D12" s="6" t="inlineStr">
        <is>
          <t>主要画面・タブ・コンテナ内切替が内部状態で動作する</t>
        </is>
      </c>
      <c r="E12" s="6" t="inlineStr">
        <is>
          <t>画面切替イベント、タブ表示切替、activeクラス付与、表示制御</t>
        </is>
      </c>
      <c r="F12" s="6" t="inlineStr">
        <is>
          <t>遷移制御JS</t>
        </is>
      </c>
      <c r="G12" s="6" t="inlineStr">
        <is>
          <t>P2-03,P2-04</t>
        </is>
      </c>
      <c r="H12" s="7" t="inlineStr">
        <is>
          <t>高</t>
        </is>
      </c>
      <c r="I12" s="7" t="inlineStr">
        <is>
          <t>未着手</t>
        </is>
      </c>
      <c r="J12" s="7" t="inlineStr"/>
      <c r="K12" s="8" t="n">
        <v>1.5</v>
      </c>
      <c r="L12" s="8" t="inlineStr"/>
      <c r="M12" s="9" t="n">
        <v>0</v>
      </c>
      <c r="N12" s="10" t="inlineStr">
        <is>
          <t>中</t>
        </is>
      </c>
    </row>
    <row r="13" ht="34" customHeight="1">
      <c r="A13" s="5" t="inlineStr">
        <is>
          <t>P2-06</t>
        </is>
      </c>
      <c r="B13" s="6" t="inlineStr">
        <is>
          <t>モーダル</t>
        </is>
      </c>
      <c r="C13" s="6" t="inlineStr">
        <is>
          <t>モーダル制御の実装</t>
        </is>
      </c>
      <c r="D13" s="6" t="inlineStr">
        <is>
          <t>モーダルの開閉、キャンセル、背景マスク制御が統一される</t>
        </is>
      </c>
      <c r="E13" s="6" t="inlineStr">
        <is>
          <t>alert/confirm/select系の開閉関数実装、重複表示防止、閉じる導線整理</t>
        </is>
      </c>
      <c r="F13" s="6" t="inlineStr">
        <is>
          <t>modal制御JS</t>
        </is>
      </c>
      <c r="G13" s="6" t="inlineStr">
        <is>
          <t>P2-04</t>
        </is>
      </c>
      <c r="H13" s="7" t="inlineStr">
        <is>
          <t>中</t>
        </is>
      </c>
      <c r="I13" s="7" t="inlineStr">
        <is>
          <t>未着手</t>
        </is>
      </c>
      <c r="J13" s="7" t="inlineStr"/>
      <c r="K13" s="8" t="n">
        <v>1</v>
      </c>
      <c r="L13" s="8" t="inlineStr"/>
      <c r="M13" s="9" t="n">
        <v>0</v>
      </c>
      <c r="N13" s="10" t="inlineStr">
        <is>
          <t>中</t>
        </is>
      </c>
    </row>
    <row r="14" ht="34" customHeight="1">
      <c r="A14" s="5" t="inlineStr">
        <is>
          <t>P2-07</t>
        </is>
      </c>
      <c r="B14" s="6" t="inlineStr">
        <is>
          <t>ボタン制御</t>
        </is>
      </c>
      <c r="C14" s="6" t="inlineStr">
        <is>
          <t>ボタン共通制御の実装</t>
        </is>
      </c>
      <c r="D14" s="6" t="inlineStr">
        <is>
          <t>normal/selected/disable等の見た目切替が共通関数で制御できる</t>
        </is>
      </c>
      <c r="E14" s="6" t="inlineStr">
        <is>
          <t>状態別class切替関数、共通イベント、主要ボタンへの適用</t>
        </is>
      </c>
      <c r="F14" s="6" t="inlineStr">
        <is>
          <t>button制御関数</t>
        </is>
      </c>
      <c r="G14" s="6" t="inlineStr">
        <is>
          <t>フェーズ1共通UI</t>
        </is>
      </c>
      <c r="H14" s="7" t="inlineStr">
        <is>
          <t>高</t>
        </is>
      </c>
      <c r="I14" s="7" t="inlineStr">
        <is>
          <t>未着手</t>
        </is>
      </c>
      <c r="J14" s="7" t="inlineStr"/>
      <c r="K14" s="8" t="n">
        <v>1.5</v>
      </c>
      <c r="L14" s="8" t="inlineStr"/>
      <c r="M14" s="9" t="n">
        <v>0</v>
      </c>
      <c r="N14" s="10" t="inlineStr">
        <is>
          <t>中</t>
        </is>
      </c>
    </row>
    <row r="15" ht="34" customHeight="1">
      <c r="A15" s="5" t="inlineStr">
        <is>
          <t>P2-08</t>
        </is>
      </c>
      <c r="B15" s="6" t="inlineStr">
        <is>
          <t>入力部品</t>
        </is>
      </c>
      <c r="C15" s="6" t="inlineStr">
        <is>
          <t>slider/select/check系の状態連動</t>
        </is>
      </c>
      <c r="D15" s="6" t="inlineStr">
        <is>
          <t>入力変更でappStateが更新され、画面表示も反映される</t>
        </is>
      </c>
      <c r="E15" s="6" t="inlineStr">
        <is>
          <t>change/inputイベント実装、表示値更新、stateとDOMの同期</t>
        </is>
      </c>
      <c r="F15" s="6" t="inlineStr">
        <is>
          <t>入力部品制御JS</t>
        </is>
      </c>
      <c r="G15" s="6" t="inlineStr">
        <is>
          <t>P2-02,P2-04</t>
        </is>
      </c>
      <c r="H15" s="7" t="inlineStr">
        <is>
          <t>高</t>
        </is>
      </c>
      <c r="I15" s="7" t="inlineStr">
        <is>
          <t>未着手</t>
        </is>
      </c>
      <c r="J15" s="7" t="inlineStr"/>
      <c r="K15" s="8" t="n">
        <v>2</v>
      </c>
      <c r="L15" s="8" t="inlineStr"/>
      <c r="M15" s="9" t="n">
        <v>0</v>
      </c>
      <c r="N15" s="10" t="inlineStr">
        <is>
          <t>中</t>
        </is>
      </c>
    </row>
    <row r="16" ht="34" customHeight="1">
      <c r="A16" s="5" t="inlineStr">
        <is>
          <t>P2-09</t>
        </is>
      </c>
      <c r="B16" s="6" t="inlineStr">
        <is>
          <t>複合UI</t>
        </is>
      </c>
      <c r="C16" s="6" t="inlineStr">
        <is>
          <t>PTZ/フレーミング複合部品の簡易制御</t>
        </is>
      </c>
      <c r="D16" s="6" t="inlineStr">
        <is>
          <t>主要複合UIが触れ、見た目上の状態変化が確認できる</t>
        </is>
      </c>
      <c r="E16" s="6" t="inlineStr">
        <is>
          <t>PTZ操作部、フレーミングターゲット、プリセット選択などの簡易イベント制御</t>
        </is>
      </c>
      <c r="F16" s="6" t="inlineStr">
        <is>
          <t>複合UI制御JS</t>
        </is>
      </c>
      <c r="G16" s="6" t="inlineStr">
        <is>
          <t>P2-05,P2-08</t>
        </is>
      </c>
      <c r="H16" s="7" t="inlineStr">
        <is>
          <t>高</t>
        </is>
      </c>
      <c r="I16" s="7" t="inlineStr">
        <is>
          <t>未着手</t>
        </is>
      </c>
      <c r="J16" s="7" t="inlineStr"/>
      <c r="K16" s="8" t="n">
        <v>2</v>
      </c>
      <c r="L16" s="8" t="inlineStr"/>
      <c r="M16" s="9" t="n">
        <v>0</v>
      </c>
      <c r="N16" s="10" t="inlineStr">
        <is>
          <t>高</t>
        </is>
      </c>
    </row>
    <row r="17" ht="34" customHeight="1">
      <c r="A17" s="5" t="inlineStr">
        <is>
          <t>P2-10</t>
        </is>
      </c>
      <c r="B17" s="6" t="inlineStr">
        <is>
          <t>データ</t>
        </is>
      </c>
      <c r="C17" s="6" t="inlineStr">
        <is>
          <t>ダミーデータモデルの作成</t>
        </is>
      </c>
      <c r="D17" s="6" t="inlineStr">
        <is>
          <t>主要画面表示に必要なダミーデータが揃う</t>
        </is>
      </c>
      <c r="E17" s="6" t="inlineStr">
        <is>
          <t>カメラ一覧、プリセット一覧、顔候補、設定値、初期状態のダミー定義</t>
        </is>
      </c>
      <c r="F17" s="6" t="inlineStr">
        <is>
          <t>mockData.js</t>
        </is>
      </c>
      <c r="G17" s="6" t="inlineStr">
        <is>
          <t>P2-01</t>
        </is>
      </c>
      <c r="H17" s="7" t="inlineStr">
        <is>
          <t>高</t>
        </is>
      </c>
      <c r="I17" s="7" t="inlineStr">
        <is>
          <t>未着手</t>
        </is>
      </c>
      <c r="J17" s="7" t="inlineStr"/>
      <c r="K17" s="8" t="n">
        <v>1</v>
      </c>
      <c r="L17" s="8" t="inlineStr"/>
      <c r="M17" s="9" t="n">
        <v>0</v>
      </c>
      <c r="N17" s="10" t="inlineStr">
        <is>
          <t>中</t>
        </is>
      </c>
    </row>
    <row r="18" ht="34" customHeight="1">
      <c r="A18" s="5" t="inlineStr">
        <is>
          <t>P2-11</t>
        </is>
      </c>
      <c r="B18" s="6" t="inlineStr">
        <is>
          <t>イベント</t>
        </is>
      </c>
      <c r="C18" s="6" t="inlineStr">
        <is>
          <t>イベントバインド整理</t>
        </is>
      </c>
      <c r="D18" s="6" t="inlineStr">
        <is>
          <t>主要DOMイベントが一覧化され、bind処理が一元化される</t>
        </is>
      </c>
      <c r="E18" s="6" t="inlineStr">
        <is>
          <t>click/change/inputイベントのマッピング、イベント委譲の要否整理</t>
        </is>
      </c>
      <c r="F18" s="6" t="inlineStr">
        <is>
          <t>bind処理一覧</t>
        </is>
      </c>
      <c r="G18" s="6" t="inlineStr">
        <is>
          <t>P2-05,P2-08</t>
        </is>
      </c>
      <c r="H18" s="7" t="inlineStr">
        <is>
          <t>高</t>
        </is>
      </c>
      <c r="I18" s="7" t="inlineStr">
        <is>
          <t>未着手</t>
        </is>
      </c>
      <c r="J18" s="7" t="inlineStr"/>
      <c r="K18" s="8" t="n">
        <v>1</v>
      </c>
      <c r="L18" s="8" t="inlineStr"/>
      <c r="M18" s="9" t="n">
        <v>0</v>
      </c>
      <c r="N18" s="10" t="inlineStr">
        <is>
          <t>中</t>
        </is>
      </c>
    </row>
    <row r="19" ht="34" customHeight="1">
      <c r="A19" s="5" t="inlineStr">
        <is>
          <t>P2-12</t>
        </is>
      </c>
      <c r="B19" s="6" t="inlineStr">
        <is>
          <t>暫定エラー</t>
        </is>
      </c>
      <c r="C19" s="6" t="inlineStr">
        <is>
          <t>簡易エラー表示の実装</t>
        </is>
      </c>
      <c r="D19" s="6" t="inlineStr">
        <is>
          <t>入力不足・未対応操作時に最低限のメッセージが表示される</t>
        </is>
      </c>
      <c r="E19" s="6" t="inlineStr">
        <is>
          <t>仮メッセージ表示関数、未選択時警告、未実装操作の通知</t>
        </is>
      </c>
      <c r="F19" s="6" t="inlineStr">
        <is>
          <t>message表示処理</t>
        </is>
      </c>
      <c r="G19" s="6" t="inlineStr">
        <is>
          <t>P2-06,P2-08</t>
        </is>
      </c>
      <c r="H19" s="7" t="inlineStr">
        <is>
          <t>中</t>
        </is>
      </c>
      <c r="I19" s="7" t="inlineStr">
        <is>
          <t>未着手</t>
        </is>
      </c>
      <c r="J19" s="7" t="inlineStr"/>
      <c r="K19" s="8" t="n">
        <v>0.5</v>
      </c>
      <c r="L19" s="8" t="inlineStr"/>
      <c r="M19" s="9" t="n">
        <v>0</v>
      </c>
      <c r="N19" s="10" t="inlineStr">
        <is>
          <t>高</t>
        </is>
      </c>
    </row>
    <row r="20" ht="34" customHeight="1">
      <c r="A20" s="5" t="inlineStr">
        <is>
          <t>P2-13</t>
        </is>
      </c>
      <c r="B20" s="6" t="inlineStr">
        <is>
          <t>結合確認</t>
        </is>
      </c>
      <c r="C20" s="6" t="inlineStr">
        <is>
          <t>フェーズ2結合確認</t>
        </is>
      </c>
      <c r="D20" s="6" t="inlineStr">
        <is>
          <t>画面遷移、状態更新、UI反映が一通り成立しレビュー可能な状態になる</t>
        </is>
      </c>
      <c r="E20" s="6" t="inlineStr">
        <is>
          <t>主要操作シナリオで確認、破綻箇所の洗い出し、軽微不具合修正</t>
        </is>
      </c>
      <c r="F20" s="6" t="inlineStr">
        <is>
          <t>確認結果メモ</t>
        </is>
      </c>
      <c r="G20" s="6" t="inlineStr">
        <is>
          <t>P2-05〜P2-12</t>
        </is>
      </c>
      <c r="H20" s="7" t="inlineStr">
        <is>
          <t>高</t>
        </is>
      </c>
      <c r="I20" s="7" t="inlineStr">
        <is>
          <t>未着手</t>
        </is>
      </c>
      <c r="J20" s="7" t="inlineStr"/>
      <c r="K20" s="8" t="n">
        <v>1</v>
      </c>
      <c r="L20" s="8" t="inlineStr"/>
      <c r="M20" s="9" t="n">
        <v>0</v>
      </c>
      <c r="N20" s="10" t="inlineStr">
        <is>
          <t>低</t>
        </is>
      </c>
    </row>
  </sheetData>
  <mergeCells count="4">
    <mergeCell ref="B3:N3"/>
    <mergeCell ref="B2:N2"/>
    <mergeCell ref="B4:N4"/>
    <mergeCell ref="A1:N1"/>
  </mergeCells>
  <dataValidations count="3">
    <dataValidation sqref="I8:I20" showDropDown="0" showInputMessage="0" showErrorMessage="0" allowBlank="1" type="list">
      <formula1>"未着手,進行中,レビュー中,完了,保留"</formula1>
    </dataValidation>
    <dataValidation sqref="H8:H20" showDropDown="0" showInputMessage="0" showErrorMessage="0" allowBlank="1" type="list">
      <formula1>"高,中,低"</formula1>
    </dataValidation>
    <dataValidation sqref="N8:N20" showDropDown="0" showInputMessage="0" showErrorMessage="0" allowBlank="1" type="list">
      <formula1>"高,中,低"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1" t="inlineStr">
        <is>
          <t>フェーズ2 進捗サマリ</t>
        </is>
      </c>
    </row>
    <row r="3">
      <c r="A3" s="2" t="inlineStr">
        <is>
          <t>指標</t>
        </is>
      </c>
      <c r="B3" s="2" t="inlineStr">
        <is>
          <t>値</t>
        </is>
      </c>
    </row>
    <row r="4">
      <c r="A4" s="12" t="inlineStr">
        <is>
          <t>総チケット数</t>
        </is>
      </c>
      <c r="B4" s="13">
        <f>COUNTA(チケット一覧!A8:A20)</f>
        <v/>
      </c>
    </row>
    <row r="5">
      <c r="A5" s="12" t="inlineStr">
        <is>
          <t>完了数</t>
        </is>
      </c>
      <c r="B5" s="13">
        <f>COUNTIF(チケット一覧!I8:I20,"完了")</f>
        <v/>
      </c>
    </row>
    <row r="6">
      <c r="A6" s="12" t="inlineStr">
        <is>
          <t>進行中数</t>
        </is>
      </c>
      <c r="B6" s="13">
        <f>COUNTIF(チケット一覧!I8:I20,"進行中")</f>
        <v/>
      </c>
    </row>
    <row r="7">
      <c r="A7" s="12" t="inlineStr">
        <is>
          <t>未着手数</t>
        </is>
      </c>
      <c r="B7" s="13">
        <f>COUNTIF(チケット一覧!I8:I20,"未着手")</f>
        <v/>
      </c>
    </row>
    <row r="8">
      <c r="A8" s="12" t="inlineStr">
        <is>
          <t>保留数</t>
        </is>
      </c>
      <c r="B8" s="13">
        <f>COUNTIF(チケット一覧!I8:I20,"保留")</f>
        <v/>
      </c>
    </row>
    <row r="9">
      <c r="A9" s="12" t="inlineStr">
        <is>
          <t>見積合計(人日)</t>
        </is>
      </c>
      <c r="B9" s="14">
        <f>SUM(チケット一覧!K8:K20)</f>
        <v/>
      </c>
    </row>
    <row r="10">
      <c r="A10" s="12" t="inlineStr">
        <is>
          <t>実績合計(人日)</t>
        </is>
      </c>
      <c r="B10" s="14">
        <f>SUM(チケット一覧!L8:L20)</f>
        <v/>
      </c>
    </row>
    <row r="11">
      <c r="A11" s="12" t="inlineStr">
        <is>
          <t>加重進捗率</t>
        </is>
      </c>
      <c r="B11" s="15">
        <f>IFERROR(SUMPRODUCT(チケット一覧!K8:K20,チケット一覧!M8:M20)/SUM(チケット一覧!K8:K20),0)</f>
        <v/>
      </c>
    </row>
    <row r="14">
      <c r="A14" s="16" t="inlineStr">
        <is>
          <t>補足</t>
        </is>
      </c>
    </row>
    <row r="15">
      <c r="A15" t="inlineStr">
        <is>
          <t>• 本サマリはチケット一覧の入力値を集計する。</t>
        </is>
      </c>
    </row>
    <row r="16">
      <c r="A16" t="inlineStr">
        <is>
          <t>• 加重進捗率は見積人日を重みとした参考値。</t>
        </is>
      </c>
    </row>
    <row r="17">
      <c r="A17" t="inlineStr">
        <is>
          <t>• 仕様確定後は変更可能性『高』のチケットから見直す。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22" customWidth="1" min="4" max="4"/>
    <col width="10" customWidth="1" min="5" max="5"/>
    <col width="18" customWidth="1" min="6" max="6"/>
  </cols>
  <sheetData>
    <row r="1">
      <c r="A1" s="11" t="inlineStr">
        <is>
          <t>フェーズ2 レビュー用確認シナリオ</t>
        </is>
      </c>
    </row>
    <row r="3">
      <c r="A3" s="17" t="inlineStr">
        <is>
          <t>No</t>
        </is>
      </c>
      <c r="B3" s="17" t="inlineStr">
        <is>
          <t>シナリオ</t>
        </is>
      </c>
      <c r="C3" s="17" t="inlineStr">
        <is>
          <t>確認内容</t>
        </is>
      </c>
      <c r="D3" s="17" t="inlineStr">
        <is>
          <t>対象チケット</t>
        </is>
      </c>
      <c r="E3" s="17" t="inlineStr">
        <is>
          <t>結果</t>
        </is>
      </c>
      <c r="F3" s="17" t="inlineStr">
        <is>
          <t>備考</t>
        </is>
      </c>
    </row>
    <row r="4">
      <c r="A4" s="6" t="inlineStr">
        <is>
          <t>1</t>
        </is>
      </c>
      <c r="B4" s="6" t="inlineStr">
        <is>
          <t>起動と初期表示</t>
        </is>
      </c>
      <c r="C4" s="6" t="inlineStr">
        <is>
          <t>初期画面・初期値・disable表示が正しい</t>
        </is>
      </c>
      <c r="D4" s="6" t="inlineStr">
        <is>
          <t>主要初期表示系</t>
        </is>
      </c>
      <c r="E4" s="6" t="inlineStr"/>
      <c r="F4" s="6" t="inlineStr"/>
    </row>
    <row r="5">
      <c r="A5" s="6" t="inlineStr">
        <is>
          <t>2</t>
        </is>
      </c>
      <c r="B5" s="6" t="inlineStr">
        <is>
          <t>画面遷移</t>
        </is>
      </c>
      <c r="C5" s="6" t="inlineStr">
        <is>
          <t>タブや画面内切替が成立する</t>
        </is>
      </c>
      <c r="D5" s="6" t="inlineStr">
        <is>
          <t>遷移/状態管理系</t>
        </is>
      </c>
      <c r="E5" s="6" t="inlineStr"/>
      <c r="F5" s="6" t="inlineStr"/>
    </row>
    <row r="6">
      <c r="A6" s="6" t="inlineStr">
        <is>
          <t>3</t>
        </is>
      </c>
      <c r="B6" s="6" t="inlineStr">
        <is>
          <t>入力変更</t>
        </is>
      </c>
      <c r="C6" s="6" t="inlineStr">
        <is>
          <t>slider/select/check変更が画面へ反映される</t>
        </is>
      </c>
      <c r="D6" s="6" t="inlineStr">
        <is>
          <t>入力部品系</t>
        </is>
      </c>
      <c r="E6" s="6" t="inlineStr"/>
      <c r="F6" s="6" t="inlineStr"/>
    </row>
    <row r="7">
      <c r="A7" s="6" t="inlineStr">
        <is>
          <t>4</t>
        </is>
      </c>
      <c r="B7" s="6" t="inlineStr">
        <is>
          <t>モーダル操作</t>
        </is>
      </c>
      <c r="C7" s="6" t="inlineStr">
        <is>
          <t>モーダルの開閉とキャンセルが動作する</t>
        </is>
      </c>
      <c r="D7" s="6" t="inlineStr">
        <is>
          <t>モーダル系</t>
        </is>
      </c>
      <c r="E7" s="6" t="inlineStr"/>
      <c r="F7" s="6" t="inlineStr"/>
    </row>
    <row r="8">
      <c r="A8" s="6" t="inlineStr">
        <is>
          <t>5</t>
        </is>
      </c>
      <c r="B8" s="6" t="inlineStr">
        <is>
          <t>主要操作</t>
        </is>
      </c>
      <c r="C8" s="6" t="inlineStr">
        <is>
          <t>主要ボタン操作で状態変化が見える</t>
        </is>
      </c>
      <c r="D8" s="6" t="inlineStr">
        <is>
          <t>複合UI/スタブAPI系</t>
        </is>
      </c>
      <c r="E8" s="6" t="inlineStr"/>
      <c r="F8" s="6" t="inlineStr"/>
    </row>
    <row r="9">
      <c r="A9" s="6" t="inlineStr">
        <is>
          <t>6</t>
        </is>
      </c>
      <c r="B9" s="6" t="inlineStr">
        <is>
          <t>遅延/失敗</t>
        </is>
      </c>
      <c r="C9" s="6" t="inlineStr">
        <is>
          <t>ローディング・失敗表示が確認できる</t>
        </is>
      </c>
      <c r="D9" s="6" t="inlineStr">
        <is>
          <t>通信スタブ系</t>
        </is>
      </c>
      <c r="E9" s="6" t="inlineStr"/>
      <c r="F9" s="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2026-03-27T01:32:23Z</dcterms:created>
  <dcterms:modified xmlns:dcterms="http://purl.org/dc/terms/" xmlns:xsi="http://www.w3.org/2001/XMLSchema-instance" xsi:type="dcterms:W3CDTF">2026-03-27T01:32:23Z</dcterms:modified>
</cp:coreProperties>
</file>