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ケット一覧" sheetId="1" state="visible" r:id="rId1"/>
    <sheet xmlns:r="http://schemas.openxmlformats.org/officeDocument/2006/relationships" name="進捗サマリ" sheetId="2" state="visible" r:id="rId2"/>
    <sheet xmlns:r="http://schemas.openxmlformats.org/officeDocument/2006/relationships" name="確認シナリ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F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9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6" borderId="0" pivotButton="0" quotePrefix="0" xfId="0"/>
    <xf numFmtId="1" fontId="0" fillId="5" borderId="0" pivotButton="0" quotePrefix="0" xfId="0"/>
    <xf numFmtId="164" fontId="0" fillId="5" borderId="0" pivotButton="0" quotePrefix="0" xfId="0"/>
    <xf numFmtId="9" fontId="0" fillId="5" borderId="0" pivotButton="0" quotePrefix="0" xfId="0"/>
    <xf numFmtId="0" fontId="2" fillId="8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フェーズ3" displayName="Table_フェーズ3" ref="A7:N20" headerRowCount="1">
  <autoFilter ref="A7:N20"/>
  <tableColumns count="14">
    <tableColumn id="1" name="チケットID"/>
    <tableColumn id="2" name="カテゴリ"/>
    <tableColumn id="3" name="タスク名"/>
    <tableColumn id="4" name="目的/完了条件"/>
    <tableColumn id="5" name="主な作業内容"/>
    <tableColumn id="6" name="成果物"/>
    <tableColumn id="7" name="前提・依存"/>
    <tableColumn id="8" name="優先度"/>
    <tableColumn id="9" name="ステータス"/>
    <tableColumn id="10" name="担当"/>
    <tableColumn id="11" name="見積(人日)"/>
    <tableColumn id="12" name="実績(人日)"/>
    <tableColumn id="13" name="進捗(%)"/>
    <tableColumn id="14" name="変更可能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0" customWidth="1" min="4" max="4"/>
    <col width="34" customWidth="1" min="5" max="5"/>
    <col width="18" customWidth="1" min="6" max="6"/>
    <col width="22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9" customWidth="1" min="13" max="13"/>
    <col width="10" customWidth="1" min="14" max="14"/>
  </cols>
  <sheetData>
    <row r="1" ht="24" customHeight="1">
      <c r="A1" s="1" t="inlineStr">
        <is>
          <t>フェーズ3 詳細版 作業チケット</t>
        </is>
      </c>
    </row>
    <row r="2" ht="34" customHeight="1">
      <c r="A2" s="2" t="inlineStr">
        <is>
          <t>目的</t>
        </is>
      </c>
      <c r="B2" s="3" t="inlineStr">
        <is>
          <t>スタブ通信を導入し、『通信して動いているように見える』モック版を成立させ、将来の実cgi差し替えに備える。</t>
        </is>
      </c>
    </row>
    <row r="3" ht="34" customHeight="1">
      <c r="A3" s="2" t="inlineStr">
        <is>
          <t>位置づけ</t>
        </is>
      </c>
      <c r="B3" s="3" t="inlineStr">
        <is>
          <t>モック版作成を目標とした具体作業チケット。客先仕様・通信I/F確定前のため、現時点の想定ベース。</t>
        </is>
      </c>
    </row>
    <row r="4" ht="34" customHeight="1">
      <c r="A4" s="2" t="inlineStr">
        <is>
          <t>使い方</t>
        </is>
      </c>
      <c r="B4" s="3" t="inlineStr">
        <is>
          <t>担当・ステータス・見積・実績・進捗を更新して進捗管理に使用する。仕様確定後にチケット削除・分割を実施する。</t>
        </is>
      </c>
    </row>
    <row r="7" ht="34" customHeight="1">
      <c r="A7" s="4" t="inlineStr">
        <is>
          <t>チケットID</t>
        </is>
      </c>
      <c r="B7" s="4" t="inlineStr">
        <is>
          <t>カテゴリ</t>
        </is>
      </c>
      <c r="C7" s="4" t="inlineStr">
        <is>
          <t>タスク名</t>
        </is>
      </c>
      <c r="D7" s="4" t="inlineStr">
        <is>
          <t>目的/完了条件</t>
        </is>
      </c>
      <c r="E7" s="4" t="inlineStr">
        <is>
          <t>主な作業内容</t>
        </is>
      </c>
      <c r="F7" s="4" t="inlineStr">
        <is>
          <t>成果物</t>
        </is>
      </c>
      <c r="G7" s="4" t="inlineStr">
        <is>
          <t>前提・依存</t>
        </is>
      </c>
      <c r="H7" s="4" t="inlineStr">
        <is>
          <t>優先度</t>
        </is>
      </c>
      <c r="I7" s="4" t="inlineStr">
        <is>
          <t>ステータス</t>
        </is>
      </c>
      <c r="J7" s="4" t="inlineStr">
        <is>
          <t>担当</t>
        </is>
      </c>
      <c r="K7" s="4" t="inlineStr">
        <is>
          <t>見積(人日)</t>
        </is>
      </c>
      <c r="L7" s="4" t="inlineStr">
        <is>
          <t>実績(人日)</t>
        </is>
      </c>
      <c r="M7" s="4" t="inlineStr">
        <is>
          <t>進捗(%)</t>
        </is>
      </c>
      <c r="N7" s="4" t="inlineStr">
        <is>
          <t>変更可能性</t>
        </is>
      </c>
    </row>
    <row r="8" ht="34" customHeight="1">
      <c r="A8" s="5" t="inlineStr">
        <is>
          <t>P3-01</t>
        </is>
      </c>
      <c r="B8" s="6" t="inlineStr">
        <is>
          <t>API設計</t>
        </is>
      </c>
      <c r="C8" s="6" t="inlineStr">
        <is>
          <t>必要API一覧の定義</t>
        </is>
      </c>
      <c r="D8" s="6" t="inlineStr">
        <is>
          <t>モック版で必要なAPI名・引数・戻り値・用途が一覧化されている</t>
        </is>
      </c>
      <c r="E8" s="6" t="inlineStr">
        <is>
          <t>状態取得、設定保存、開始停止、PTZ、プリセット、顔候補取得などのAPIを洗い出す</t>
        </is>
      </c>
      <c r="F8" s="6" t="inlineStr">
        <is>
          <t>API一覧表</t>
        </is>
      </c>
      <c r="G8" s="6" t="inlineStr">
        <is>
          <t>フェーズ2主要操作</t>
        </is>
      </c>
      <c r="H8" s="7" t="inlineStr">
        <is>
          <t>高</t>
        </is>
      </c>
      <c r="I8" s="7" t="inlineStr">
        <is>
          <t>未着手</t>
        </is>
      </c>
      <c r="J8" s="7" t="inlineStr"/>
      <c r="K8" s="8" t="n">
        <v>1</v>
      </c>
      <c r="L8" s="8" t="inlineStr"/>
      <c r="M8" s="9" t="n">
        <v>0</v>
      </c>
      <c r="N8" s="10" t="inlineStr">
        <is>
          <t>高</t>
        </is>
      </c>
    </row>
    <row r="9" ht="34" customHeight="1">
      <c r="A9" s="5" t="inlineStr">
        <is>
          <t>P3-02</t>
        </is>
      </c>
      <c r="B9" s="6" t="inlineStr">
        <is>
          <t>API層</t>
        </is>
      </c>
      <c r="C9" s="6" t="inlineStr">
        <is>
          <t>cameraApi層の骨格実装</t>
        </is>
      </c>
      <c r="D9" s="6" t="inlineStr">
        <is>
          <t>UI層がcameraApi経由で通信要求する構成になる</t>
        </is>
      </c>
      <c r="E9" s="6" t="inlineStr">
        <is>
          <t>cameraApi.js作成、関数枠作成、UI直呼び出し禁止ルール整備</t>
        </is>
      </c>
      <c r="F9" s="6" t="inlineStr">
        <is>
          <t>cameraApi.js</t>
        </is>
      </c>
      <c r="G9" s="6" t="inlineStr">
        <is>
          <t>P3-01</t>
        </is>
      </c>
      <c r="H9" s="7" t="inlineStr">
        <is>
          <t>高</t>
        </is>
      </c>
      <c r="I9" s="7" t="inlineStr">
        <is>
          <t>未着手</t>
        </is>
      </c>
      <c r="J9" s="7" t="inlineStr"/>
      <c r="K9" s="8" t="n">
        <v>1</v>
      </c>
      <c r="L9" s="8" t="inlineStr"/>
      <c r="M9" s="9" t="n">
        <v>0</v>
      </c>
      <c r="N9" s="10" t="inlineStr">
        <is>
          <t>中</t>
        </is>
      </c>
    </row>
    <row r="10" ht="34" customHeight="1">
      <c r="A10" s="5" t="inlineStr">
        <is>
          <t>P3-03</t>
        </is>
      </c>
      <c r="B10" s="6" t="inlineStr">
        <is>
          <t>スタブデータ</t>
        </is>
      </c>
      <c r="C10" s="6" t="inlineStr">
        <is>
          <t>スタブレスポンスデータ作成</t>
        </is>
      </c>
      <c r="D10" s="6" t="inlineStr">
        <is>
          <t>主要画面で必要なレスポンスJSON雛形が揃っている</t>
        </is>
      </c>
      <c r="E10" s="6" t="inlineStr">
        <is>
          <t>カメラ状態、設定値、プリセット一覧、ターゲット情報、保存結果のダミー応答定義</t>
        </is>
      </c>
      <c r="F10" s="6" t="inlineStr">
        <is>
          <t>stubResponse.js</t>
        </is>
      </c>
      <c r="G10" s="6" t="inlineStr">
        <is>
          <t>P3-01</t>
        </is>
      </c>
      <c r="H10" s="7" t="inlineStr">
        <is>
          <t>高</t>
        </is>
      </c>
      <c r="I10" s="7" t="inlineStr">
        <is>
          <t>未着手</t>
        </is>
      </c>
      <c r="J10" s="7" t="inlineStr"/>
      <c r="K10" s="8" t="n">
        <v>1</v>
      </c>
      <c r="L10" s="8" t="inlineStr"/>
      <c r="M10" s="9" t="n">
        <v>0</v>
      </c>
      <c r="N10" s="10" t="inlineStr">
        <is>
          <t>高</t>
        </is>
      </c>
    </row>
    <row r="11" ht="34" customHeight="1">
      <c r="A11" s="5" t="inlineStr">
        <is>
          <t>P3-04</t>
        </is>
      </c>
      <c r="B11" s="6" t="inlineStr">
        <is>
          <t>取得系通信</t>
        </is>
      </c>
      <c r="C11" s="6" t="inlineStr">
        <is>
          <t>取得系スタブの実装</t>
        </is>
      </c>
      <c r="D11" s="6" t="inlineStr">
        <is>
          <t>初期表示や一覧表示がスタブAPI経由で成立する</t>
        </is>
      </c>
      <c r="E11" s="6" t="inlineStr">
        <is>
          <t>getCameraList/getStatus/getSettings/getPresetList等のスタブ関数実装</t>
        </is>
      </c>
      <c r="F11" s="6" t="inlineStr">
        <is>
          <t>取得系スタブ関数</t>
        </is>
      </c>
      <c r="G11" s="6" t="inlineStr">
        <is>
          <t>P3-02,P3-03</t>
        </is>
      </c>
      <c r="H11" s="7" t="inlineStr">
        <is>
          <t>高</t>
        </is>
      </c>
      <c r="I11" s="7" t="inlineStr">
        <is>
          <t>未着手</t>
        </is>
      </c>
      <c r="J11" s="7" t="inlineStr"/>
      <c r="K11" s="8" t="n">
        <v>1.5</v>
      </c>
      <c r="L11" s="8" t="inlineStr"/>
      <c r="M11" s="9" t="n">
        <v>0</v>
      </c>
      <c r="N11" s="10" t="inlineStr">
        <is>
          <t>中</t>
        </is>
      </c>
    </row>
    <row r="12" ht="34" customHeight="1">
      <c r="A12" s="5" t="inlineStr">
        <is>
          <t>P3-05</t>
        </is>
      </c>
      <c r="B12" s="6" t="inlineStr">
        <is>
          <t>更新系通信</t>
        </is>
      </c>
      <c r="C12" s="6" t="inlineStr">
        <is>
          <t>設定更新スタブの実装</t>
        </is>
      </c>
      <c r="D12" s="6" t="inlineStr">
        <is>
          <t>設定変更・保存がスタブ経由で反映される</t>
        </is>
      </c>
      <c r="E12" s="6" t="inlineStr">
        <is>
          <t>setMode/saveSettings/toggleEnable等のスタブ実装、応答整備</t>
        </is>
      </c>
      <c r="F12" s="6" t="inlineStr">
        <is>
          <t>更新系スタブ関数</t>
        </is>
      </c>
      <c r="G12" s="6" t="inlineStr">
        <is>
          <t>P3-02,P3-03</t>
        </is>
      </c>
      <c r="H12" s="7" t="inlineStr">
        <is>
          <t>高</t>
        </is>
      </c>
      <c r="I12" s="7" t="inlineStr">
        <is>
          <t>未着手</t>
        </is>
      </c>
      <c r="J12" s="7" t="inlineStr"/>
      <c r="K12" s="8" t="n">
        <v>1.5</v>
      </c>
      <c r="L12" s="8" t="inlineStr"/>
      <c r="M12" s="9" t="n">
        <v>0</v>
      </c>
      <c r="N12" s="10" t="inlineStr">
        <is>
          <t>高</t>
        </is>
      </c>
    </row>
    <row r="13" ht="34" customHeight="1">
      <c r="A13" s="5" t="inlineStr">
        <is>
          <t>P3-06</t>
        </is>
      </c>
      <c r="B13" s="6" t="inlineStr">
        <is>
          <t>制御系通信</t>
        </is>
      </c>
      <c r="C13" s="6" t="inlineStr">
        <is>
          <t>開始/停止/PTZ操作スタブの実装</t>
        </is>
      </c>
      <c r="D13" s="6" t="inlineStr">
        <is>
          <t>主要制御操作後に状態変化が見える</t>
        </is>
      </c>
      <c r="E13" s="6" t="inlineStr">
        <is>
          <t>start/stop/movePTZ/callPreset等のスタブ処理を実装し内部状態を更新する</t>
        </is>
      </c>
      <c r="F13" s="6" t="inlineStr">
        <is>
          <t>制御系スタブ関数</t>
        </is>
      </c>
      <c r="G13" s="6" t="inlineStr">
        <is>
          <t>P3-02,P3-03</t>
        </is>
      </c>
      <c r="H13" s="7" t="inlineStr">
        <is>
          <t>高</t>
        </is>
      </c>
      <c r="I13" s="7" t="inlineStr">
        <is>
          <t>未着手</t>
        </is>
      </c>
      <c r="J13" s="7" t="inlineStr"/>
      <c r="K13" s="8" t="n">
        <v>2</v>
      </c>
      <c r="L13" s="8" t="inlineStr"/>
      <c r="M13" s="9" t="n">
        <v>0</v>
      </c>
      <c r="N13" s="10" t="inlineStr">
        <is>
          <t>高</t>
        </is>
      </c>
    </row>
    <row r="14" ht="34" customHeight="1">
      <c r="A14" s="5" t="inlineStr">
        <is>
          <t>P3-07</t>
        </is>
      </c>
      <c r="B14" s="6" t="inlineStr">
        <is>
          <t>通信演出</t>
        </is>
      </c>
      <c r="C14" s="6" t="inlineStr">
        <is>
          <t>通信遅延の簡易再現</t>
        </is>
      </c>
      <c r="D14" s="6" t="inlineStr">
        <is>
          <t>loading表示や待機演出をレビューできる</t>
        </is>
      </c>
      <c r="E14" s="6" t="inlineStr">
        <is>
          <t>setTimeout等で応答遅延を付与し、loading開始/終了制御を組み込む</t>
        </is>
      </c>
      <c r="F14" s="6" t="inlineStr">
        <is>
          <t>遅延付きスタブ</t>
        </is>
      </c>
      <c r="G14" s="6" t="inlineStr">
        <is>
          <t>P3-04〜P3-06</t>
        </is>
      </c>
      <c r="H14" s="7" t="inlineStr">
        <is>
          <t>中</t>
        </is>
      </c>
      <c r="I14" s="7" t="inlineStr">
        <is>
          <t>未着手</t>
        </is>
      </c>
      <c r="J14" s="7" t="inlineStr"/>
      <c r="K14" s="8" t="n">
        <v>0.5</v>
      </c>
      <c r="L14" s="8" t="inlineStr"/>
      <c r="M14" s="9" t="n">
        <v>0</v>
      </c>
      <c r="N14" s="10" t="inlineStr">
        <is>
          <t>低</t>
        </is>
      </c>
    </row>
    <row r="15" ht="34" customHeight="1">
      <c r="A15" s="5" t="inlineStr">
        <is>
          <t>P3-08</t>
        </is>
      </c>
      <c r="B15" s="6" t="inlineStr">
        <is>
          <t>通信演出</t>
        </is>
      </c>
      <c r="C15" s="6" t="inlineStr">
        <is>
          <t>通信失敗の簡易再現</t>
        </is>
      </c>
      <c r="D15" s="6" t="inlineStr">
        <is>
          <t>エラー表示や復帰動作の確認ができる</t>
        </is>
      </c>
      <c r="E15" s="6" t="inlineStr">
        <is>
          <t>失敗モードフラグ、異常応答、エラーメッセージ表示確認用処理を追加</t>
        </is>
      </c>
      <c r="F15" s="6" t="inlineStr">
        <is>
          <t>失敗付きスタブ</t>
        </is>
      </c>
      <c r="G15" s="6" t="inlineStr">
        <is>
          <t>P3-04〜P3-06</t>
        </is>
      </c>
      <c r="H15" s="7" t="inlineStr">
        <is>
          <t>中</t>
        </is>
      </c>
      <c r="I15" s="7" t="inlineStr">
        <is>
          <t>未着手</t>
        </is>
      </c>
      <c r="J15" s="7" t="inlineStr"/>
      <c r="K15" s="8" t="n">
        <v>0.5</v>
      </c>
      <c r="L15" s="8" t="inlineStr"/>
      <c r="M15" s="9" t="n">
        <v>0</v>
      </c>
      <c r="N15" s="10" t="inlineStr">
        <is>
          <t>中</t>
        </is>
      </c>
    </row>
    <row r="16" ht="34" customHeight="1">
      <c r="A16" s="5" t="inlineStr">
        <is>
          <t>P3-09</t>
        </is>
      </c>
      <c r="B16" s="6" t="inlineStr">
        <is>
          <t>接続</t>
        </is>
      </c>
      <c r="C16" s="6" t="inlineStr">
        <is>
          <t>UIイベントとAPI層の接続</t>
        </is>
      </c>
      <c r="D16" s="6" t="inlineStr">
        <is>
          <t>主要操作がcameraApi経由で動作する</t>
        </is>
      </c>
      <c r="E16" s="6" t="inlineStr">
        <is>
          <t>イベント処理からcameraApiを呼び、成功/失敗で分岐するよう接続</t>
        </is>
      </c>
      <c r="F16" s="6" t="inlineStr">
        <is>
          <t>接続済みイベント処理</t>
        </is>
      </c>
      <c r="G16" s="6" t="inlineStr">
        <is>
          <t>P3-04〜P3-08,フェーズ2完了</t>
        </is>
      </c>
      <c r="H16" s="7" t="inlineStr">
        <is>
          <t>高</t>
        </is>
      </c>
      <c r="I16" s="7" t="inlineStr">
        <is>
          <t>未着手</t>
        </is>
      </c>
      <c r="J16" s="7" t="inlineStr"/>
      <c r="K16" s="8" t="n">
        <v>1.5</v>
      </c>
      <c r="L16" s="8" t="inlineStr"/>
      <c r="M16" s="9" t="n">
        <v>0</v>
      </c>
      <c r="N16" s="10" t="inlineStr">
        <is>
          <t>中</t>
        </is>
      </c>
    </row>
    <row r="17" ht="34" customHeight="1">
      <c r="A17" s="5" t="inlineStr">
        <is>
          <t>P3-10</t>
        </is>
      </c>
      <c r="B17" s="6" t="inlineStr">
        <is>
          <t>状態反映</t>
        </is>
      </c>
      <c r="C17" s="6" t="inlineStr">
        <is>
          <t>API戻り値のstate反映と再描画</t>
        </is>
      </c>
      <c r="D17" s="6" t="inlineStr">
        <is>
          <t>UI操作→API→state更新→renderの流れが成立する</t>
        </is>
      </c>
      <c r="E17" s="6" t="inlineStr">
        <is>
          <t>レスポンスをappStateへ反映し、関連render関数を呼ぶ処理を実装</t>
        </is>
      </c>
      <c r="F17" s="6" t="inlineStr">
        <is>
          <t>反映処理</t>
        </is>
      </c>
      <c r="G17" s="6" t="inlineStr">
        <is>
          <t>P3-09</t>
        </is>
      </c>
      <c r="H17" s="7" t="inlineStr">
        <is>
          <t>高</t>
        </is>
      </c>
      <c r="I17" s="7" t="inlineStr">
        <is>
          <t>未着手</t>
        </is>
      </c>
      <c r="J17" s="7" t="inlineStr"/>
      <c r="K17" s="8" t="n">
        <v>1.5</v>
      </c>
      <c r="L17" s="8" t="inlineStr"/>
      <c r="M17" s="9" t="n">
        <v>0</v>
      </c>
      <c r="N17" s="10" t="inlineStr">
        <is>
          <t>中</t>
        </is>
      </c>
    </row>
    <row r="18" ht="34" customHeight="1">
      <c r="A18" s="5" t="inlineStr">
        <is>
          <t>P3-11</t>
        </is>
      </c>
      <c r="B18" s="6" t="inlineStr">
        <is>
          <t>差し替え準備</t>
        </is>
      </c>
      <c r="C18" s="6" t="inlineStr">
        <is>
          <t>実cgi差し替えポイントの明確化</t>
        </is>
      </c>
      <c r="D18" s="6" t="inlineStr">
        <is>
          <t>後で本物のcgiに置き換える対象が一覧化される</t>
        </is>
      </c>
      <c r="E18" s="6" t="inlineStr">
        <is>
          <t>stubと本実装の境界、ファイル、関数、想定I/F差異を整理</t>
        </is>
      </c>
      <c r="F18" s="6" t="inlineStr">
        <is>
          <t>差し替え一覧表</t>
        </is>
      </c>
      <c r="G18" s="6" t="inlineStr">
        <is>
          <t>P3-02,P3-09</t>
        </is>
      </c>
      <c r="H18" s="7" t="inlineStr">
        <is>
          <t>高</t>
        </is>
      </c>
      <c r="I18" s="7" t="inlineStr">
        <is>
          <t>未着手</t>
        </is>
      </c>
      <c r="J18" s="7" t="inlineStr"/>
      <c r="K18" s="8" t="n">
        <v>1</v>
      </c>
      <c r="L18" s="8" t="inlineStr"/>
      <c r="M18" s="9" t="n">
        <v>0</v>
      </c>
      <c r="N18" s="10" t="inlineStr">
        <is>
          <t>高</t>
        </is>
      </c>
    </row>
    <row r="19" ht="34" customHeight="1">
      <c r="A19" s="5" t="inlineStr">
        <is>
          <t>P3-12</t>
        </is>
      </c>
      <c r="B19" s="6" t="inlineStr">
        <is>
          <t>レビュー準備</t>
        </is>
      </c>
      <c r="C19" s="6" t="inlineStr">
        <is>
          <t>モック版確認シナリオ作成</t>
        </is>
      </c>
      <c r="D19" s="6" t="inlineStr">
        <is>
          <t>関係者レビューに使える操作シナリオが揃う</t>
        </is>
      </c>
      <c r="E19" s="6" t="inlineStr">
        <is>
          <t>起動、選択、変更、開始停止、preset、失敗時表示までの確認手順を作成</t>
        </is>
      </c>
      <c r="F19" s="6" t="inlineStr">
        <is>
          <t>確認シナリオ</t>
        </is>
      </c>
      <c r="G19" s="6" t="inlineStr">
        <is>
          <t>P3-09,P3-10</t>
        </is>
      </c>
      <c r="H19" s="7" t="inlineStr">
        <is>
          <t>中</t>
        </is>
      </c>
      <c r="I19" s="7" t="inlineStr">
        <is>
          <t>未着手</t>
        </is>
      </c>
      <c r="J19" s="7" t="inlineStr"/>
      <c r="K19" s="8" t="n">
        <v>0.5</v>
      </c>
      <c r="L19" s="8" t="inlineStr"/>
      <c r="M19" s="9" t="n">
        <v>0</v>
      </c>
      <c r="N19" s="10" t="inlineStr">
        <is>
          <t>低</t>
        </is>
      </c>
    </row>
    <row r="20" ht="34" customHeight="1">
      <c r="A20" s="5" t="inlineStr">
        <is>
          <t>P3-13</t>
        </is>
      </c>
      <c r="B20" s="6" t="inlineStr">
        <is>
          <t>結合確認</t>
        </is>
      </c>
      <c r="C20" s="6" t="inlineStr">
        <is>
          <t>フェーズ3結合確認</t>
        </is>
      </c>
      <c r="D20" s="6" t="inlineStr">
        <is>
          <t>通信しているように見えるモック版として一通りレビューできる</t>
        </is>
      </c>
      <c r="E20" s="6" t="inlineStr">
        <is>
          <t>通し確認、簡易不具合修正、レビュー前の仕上げ確認</t>
        </is>
      </c>
      <c r="F20" s="6" t="inlineStr">
        <is>
          <t>結合確認結果</t>
        </is>
      </c>
      <c r="G20" s="6" t="inlineStr">
        <is>
          <t>P3-04〜P3-12</t>
        </is>
      </c>
      <c r="H20" s="7" t="inlineStr">
        <is>
          <t>高</t>
        </is>
      </c>
      <c r="I20" s="7" t="inlineStr">
        <is>
          <t>未着手</t>
        </is>
      </c>
      <c r="J20" s="7" t="inlineStr"/>
      <c r="K20" s="8" t="n">
        <v>1</v>
      </c>
      <c r="L20" s="8" t="inlineStr"/>
      <c r="M20" s="9" t="n">
        <v>0</v>
      </c>
      <c r="N20" s="10" t="inlineStr">
        <is>
          <t>低</t>
        </is>
      </c>
    </row>
  </sheetData>
  <mergeCells count="4">
    <mergeCell ref="B3:N3"/>
    <mergeCell ref="B2:N2"/>
    <mergeCell ref="B4:N4"/>
    <mergeCell ref="A1:N1"/>
  </mergeCells>
  <dataValidations count="3">
    <dataValidation sqref="I8:I20" showDropDown="0" showInputMessage="0" showErrorMessage="0" allowBlank="1" type="list">
      <formula1>"未着手,進行中,レビュー中,完了,保留"</formula1>
    </dataValidation>
    <dataValidation sqref="H8:H20" showDropDown="0" showInputMessage="0" showErrorMessage="0" allowBlank="1" type="list">
      <formula1>"高,中,低"</formula1>
    </dataValidation>
    <dataValidation sqref="N8:N20" showDropDown="0" showInputMessage="0" showErrorMessage="0" allowBlank="1" type="list">
      <formula1>"高,中,低"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1" t="inlineStr">
        <is>
          <t>フェーズ3 進捗サマリ</t>
        </is>
      </c>
    </row>
    <row r="3">
      <c r="A3" s="2" t="inlineStr">
        <is>
          <t>指標</t>
        </is>
      </c>
      <c r="B3" s="2" t="inlineStr">
        <is>
          <t>値</t>
        </is>
      </c>
    </row>
    <row r="4">
      <c r="A4" s="12" t="inlineStr">
        <is>
          <t>総チケット数</t>
        </is>
      </c>
      <c r="B4" s="13">
        <f>COUNTA(チケット一覧!A8:A20)</f>
        <v/>
      </c>
    </row>
    <row r="5">
      <c r="A5" s="12" t="inlineStr">
        <is>
          <t>完了数</t>
        </is>
      </c>
      <c r="B5" s="13">
        <f>COUNTIF(チケット一覧!I8:I20,"完了")</f>
        <v/>
      </c>
    </row>
    <row r="6">
      <c r="A6" s="12" t="inlineStr">
        <is>
          <t>進行中数</t>
        </is>
      </c>
      <c r="B6" s="13">
        <f>COUNTIF(チケット一覧!I8:I20,"進行中")</f>
        <v/>
      </c>
    </row>
    <row r="7">
      <c r="A7" s="12" t="inlineStr">
        <is>
          <t>未着手数</t>
        </is>
      </c>
      <c r="B7" s="13">
        <f>COUNTIF(チケット一覧!I8:I20,"未着手")</f>
        <v/>
      </c>
    </row>
    <row r="8">
      <c r="A8" s="12" t="inlineStr">
        <is>
          <t>保留数</t>
        </is>
      </c>
      <c r="B8" s="13">
        <f>COUNTIF(チケット一覧!I8:I20,"保留")</f>
        <v/>
      </c>
    </row>
    <row r="9">
      <c r="A9" s="12" t="inlineStr">
        <is>
          <t>見積合計(人日)</t>
        </is>
      </c>
      <c r="B9" s="14">
        <f>SUM(チケット一覧!K8:K20)</f>
        <v/>
      </c>
    </row>
    <row r="10">
      <c r="A10" s="12" t="inlineStr">
        <is>
          <t>実績合計(人日)</t>
        </is>
      </c>
      <c r="B10" s="14">
        <f>SUM(チケット一覧!L8:L20)</f>
        <v/>
      </c>
    </row>
    <row r="11">
      <c r="A11" s="12" t="inlineStr">
        <is>
          <t>加重進捗率</t>
        </is>
      </c>
      <c r="B11" s="15">
        <f>IFERROR(SUMPRODUCT(チケット一覧!K8:K20,チケット一覧!M8:M20)/SUM(チケット一覧!K8:K20),0)</f>
        <v/>
      </c>
    </row>
    <row r="14">
      <c r="A14" s="16" t="inlineStr">
        <is>
          <t>補足</t>
        </is>
      </c>
    </row>
    <row r="15">
      <c r="A15" t="inlineStr">
        <is>
          <t>• 本サマリはチケット一覧の入力値を集計する。</t>
        </is>
      </c>
    </row>
    <row r="16">
      <c r="A16" t="inlineStr">
        <is>
          <t>• 加重進捗率は見積人日を重みとした参考値。</t>
        </is>
      </c>
    </row>
    <row r="17">
      <c r="A17" t="inlineStr">
        <is>
          <t>• 仕様確定後は変更可能性『高』のチケットから見直す。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2" customWidth="1" min="4" max="4"/>
    <col width="10" customWidth="1" min="5" max="5"/>
    <col width="18" customWidth="1" min="6" max="6"/>
  </cols>
  <sheetData>
    <row r="1">
      <c r="A1" s="11" t="inlineStr">
        <is>
          <t>フェーズ3 レビュー用確認シナリオ</t>
        </is>
      </c>
    </row>
    <row r="3">
      <c r="A3" s="17" t="inlineStr">
        <is>
          <t>No</t>
        </is>
      </c>
      <c r="B3" s="17" t="inlineStr">
        <is>
          <t>シナリオ</t>
        </is>
      </c>
      <c r="C3" s="17" t="inlineStr">
        <is>
          <t>確認内容</t>
        </is>
      </c>
      <c r="D3" s="17" t="inlineStr">
        <is>
          <t>対象チケット</t>
        </is>
      </c>
      <c r="E3" s="17" t="inlineStr">
        <is>
          <t>結果</t>
        </is>
      </c>
      <c r="F3" s="17" t="inlineStr">
        <is>
          <t>備考</t>
        </is>
      </c>
    </row>
    <row r="4">
      <c r="A4" s="6" t="inlineStr">
        <is>
          <t>1</t>
        </is>
      </c>
      <c r="B4" s="6" t="inlineStr">
        <is>
          <t>起動と初期表示</t>
        </is>
      </c>
      <c r="C4" s="6" t="inlineStr">
        <is>
          <t>初期画面・初期値・disable表示が正しい</t>
        </is>
      </c>
      <c r="D4" s="6" t="inlineStr">
        <is>
          <t>主要初期表示系</t>
        </is>
      </c>
      <c r="E4" s="6" t="inlineStr"/>
      <c r="F4" s="6" t="inlineStr"/>
    </row>
    <row r="5">
      <c r="A5" s="6" t="inlineStr">
        <is>
          <t>2</t>
        </is>
      </c>
      <c r="B5" s="6" t="inlineStr">
        <is>
          <t>画面遷移</t>
        </is>
      </c>
      <c r="C5" s="6" t="inlineStr">
        <is>
          <t>タブや画面内切替が成立する</t>
        </is>
      </c>
      <c r="D5" s="6" t="inlineStr">
        <is>
          <t>遷移/状態管理系</t>
        </is>
      </c>
      <c r="E5" s="6" t="inlineStr"/>
      <c r="F5" s="6" t="inlineStr"/>
    </row>
    <row r="6">
      <c r="A6" s="6" t="inlineStr">
        <is>
          <t>3</t>
        </is>
      </c>
      <c r="B6" s="6" t="inlineStr">
        <is>
          <t>入力変更</t>
        </is>
      </c>
      <c r="C6" s="6" t="inlineStr">
        <is>
          <t>slider/select/check変更が画面へ反映される</t>
        </is>
      </c>
      <c r="D6" s="6" t="inlineStr">
        <is>
          <t>入力部品系</t>
        </is>
      </c>
      <c r="E6" s="6" t="inlineStr"/>
      <c r="F6" s="6" t="inlineStr"/>
    </row>
    <row r="7">
      <c r="A7" s="6" t="inlineStr">
        <is>
          <t>4</t>
        </is>
      </c>
      <c r="B7" s="6" t="inlineStr">
        <is>
          <t>モーダル操作</t>
        </is>
      </c>
      <c r="C7" s="6" t="inlineStr">
        <is>
          <t>モーダルの開閉とキャンセルが動作する</t>
        </is>
      </c>
      <c r="D7" s="6" t="inlineStr">
        <is>
          <t>モーダル系</t>
        </is>
      </c>
      <c r="E7" s="6" t="inlineStr"/>
      <c r="F7" s="6" t="inlineStr"/>
    </row>
    <row r="8">
      <c r="A8" s="6" t="inlineStr">
        <is>
          <t>5</t>
        </is>
      </c>
      <c r="B8" s="6" t="inlineStr">
        <is>
          <t>主要操作</t>
        </is>
      </c>
      <c r="C8" s="6" t="inlineStr">
        <is>
          <t>主要ボタン操作で状態変化が見える</t>
        </is>
      </c>
      <c r="D8" s="6" t="inlineStr">
        <is>
          <t>複合UI/スタブAPI系</t>
        </is>
      </c>
      <c r="E8" s="6" t="inlineStr"/>
      <c r="F8" s="6" t="inlineStr"/>
    </row>
    <row r="9">
      <c r="A9" s="6" t="inlineStr">
        <is>
          <t>6</t>
        </is>
      </c>
      <c r="B9" s="6" t="inlineStr">
        <is>
          <t>遅延/失敗</t>
        </is>
      </c>
      <c r="C9" s="6" t="inlineStr">
        <is>
          <t>ローディング・失敗表示が確認できる</t>
        </is>
      </c>
      <c r="D9" s="6" t="inlineStr">
        <is>
          <t>通信スタブ系</t>
        </is>
      </c>
      <c r="E9" s="6" t="inlineStr"/>
      <c r="F9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2026-03-27T01:32:23Z</dcterms:created>
  <dcterms:modified xmlns:dcterms="http://purl.org/dc/terms/" xmlns:xsi="http://www.w3.org/2001/XMLSchema-instance" xsi:type="dcterms:W3CDTF">2026-03-27T01:32:23Z</dcterms:modified>
</cp:coreProperties>
</file>